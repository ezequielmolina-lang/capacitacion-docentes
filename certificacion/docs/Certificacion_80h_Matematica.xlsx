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ION" sheetId="1" state="visible" r:id="rId1"/>
    <sheet xmlns:r="http://schemas.openxmlformats.org/officeDocument/2006/relationships" name="EVIDENCI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1F3864"/>
      <sz val="13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7" fillId="3" borderId="1" pivotButton="0" quotePrefix="0" xfId="0"/>
    <xf numFmtId="0" fontId="7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7" fillId="4" borderId="1" pivotButton="0" quotePrefix="0" xfId="0"/>
    <xf numFmtId="0" fontId="7" fillId="4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22" customWidth="1" min="9" max="9"/>
    <col width="18" customWidth="1" min="10" max="10"/>
    <col width="18" customWidth="1" min="11" max="11"/>
    <col width="18" customWidth="1" min="12" max="12"/>
    <col width="12" customWidth="1" min="13" max="13"/>
    <col width="16" customWidth="1" min="14" max="14"/>
    <col width="25" customWidth="1" min="15" max="15"/>
  </cols>
  <sheetData>
    <row r="1" ht="30" customHeight="1">
      <c r="A1" s="1" t="inlineStr">
        <is>
          <t>PLANILLA DE CERTIFICACIÓN — Sílabo 80h: Tutor de IA de Matemáticas</t>
        </is>
      </c>
    </row>
    <row r="2">
      <c r="A2" s="2" t="inlineStr">
        <is>
          <t>Programa "Eligiendo Mi Camino" — DRELM / Banco Mundial — 80 horas pedagógicas</t>
        </is>
      </c>
    </row>
    <row r="3">
      <c r="A3" s="3" t="inlineStr">
        <is>
          <t>Período: 4 de mayo — 30 de julio de 2026 (incluye fase anticipada desde el 23 de marzo)</t>
        </is>
      </c>
    </row>
    <row r="5" ht="60" customHeight="1">
      <c r="A5" s="4" t="inlineStr">
        <is>
          <t>N.°</t>
        </is>
      </c>
      <c r="B5" s="4" t="inlineStr">
        <is>
          <t>UGEL</t>
        </is>
      </c>
      <c r="C5" s="4" t="inlineStr">
        <is>
          <t>CÓDIGO
MODULAR</t>
        </is>
      </c>
      <c r="D5" s="4" t="inlineStr">
        <is>
          <t>INSTITUCIÓN
EDUCATIVA</t>
        </is>
      </c>
      <c r="E5" s="4" t="inlineStr">
        <is>
          <t>APELLIDO
PATERNO</t>
        </is>
      </c>
      <c r="F5" s="4" t="inlineStr">
        <is>
          <t>APELLIDO
MATERNO</t>
        </is>
      </c>
      <c r="G5" s="4" t="inlineStr">
        <is>
          <t>NOMBRE</t>
        </is>
      </c>
      <c r="H5" s="4" t="inlineStr">
        <is>
          <t>DNI</t>
        </is>
      </c>
      <c r="I5" s="4" t="inlineStr">
        <is>
          <t>CORREO
ELECTRÓNICO</t>
        </is>
      </c>
      <c r="J5" s="4" t="inlineStr">
        <is>
          <t>Presencia en
laboratorio
(uDocz)
(50%)
Max: 20</t>
        </is>
      </c>
      <c r="K5" s="4" t="inlineStr">
        <is>
          <t>Productos y
autoestudio
(Perf.+Sesiones+Demo)
(30%)
Max: 20</t>
        </is>
      </c>
      <c r="L5" s="4" t="inlineStr">
        <is>
          <t>Acompañamiento
y evaluaciones
(Llamadas+IPA+Feedback)
(20%)
Max: 20</t>
        </is>
      </c>
      <c r="M5" s="4" t="inlineStr">
        <is>
          <t>PROMEDIO
FINAL</t>
        </is>
      </c>
      <c r="N5" s="4" t="inlineStr">
        <is>
          <t>CERTIFICACIÓN</t>
        </is>
      </c>
      <c r="O5" s="4" t="inlineStr">
        <is>
          <t>OBSERVACIONES</t>
        </is>
      </c>
    </row>
    <row r="6">
      <c r="A6" s="5" t="inlineStr">
        <is>
          <t>Nota mínima aprobatoria: 14 (escala vigesimal). Pesos: Presencia en (50%) + Productos y (30%) + Acompañamiento (20%). Cada componente se califica de 0 a 20.</t>
        </is>
      </c>
    </row>
    <row r="7">
      <c r="A7" s="6" t="n">
        <v>1</v>
      </c>
      <c r="B7" s="6" t="n"/>
      <c r="C7" s="6" t="n"/>
      <c r="D7" s="7" t="n"/>
      <c r="E7" s="6" t="n"/>
      <c r="F7" s="6" t="n"/>
      <c r="G7" s="6" t="n"/>
      <c r="H7" s="6" t="n"/>
      <c r="I7" s="7" t="n"/>
      <c r="J7" s="8" t="n"/>
      <c r="K7" s="8" t="n"/>
      <c r="L7" s="8" t="n"/>
      <c r="M7" s="9">
        <f>IF(COUNTA(J7,K7,L7)=0,"",ROUND((J7/20)*20*0.5+(K7/20)*20*0.3+(L7/20)*20*0.2,1))</f>
        <v/>
      </c>
      <c r="N7" s="10">
        <f>IF(M7="","",IF(M7&gt;=14,"APROBADO","DESAPROBADO"))</f>
        <v/>
      </c>
      <c r="O7" s="7" t="n"/>
    </row>
    <row r="8">
      <c r="A8" s="6" t="n">
        <v>2</v>
      </c>
      <c r="B8" s="6" t="n"/>
      <c r="C8" s="6" t="n"/>
      <c r="D8" s="7" t="n"/>
      <c r="E8" s="6" t="n"/>
      <c r="F8" s="6" t="n"/>
      <c r="G8" s="6" t="n"/>
      <c r="H8" s="6" t="n"/>
      <c r="I8" s="7" t="n"/>
      <c r="J8" s="8" t="n"/>
      <c r="K8" s="8" t="n"/>
      <c r="L8" s="8" t="n"/>
      <c r="M8" s="9">
        <f>IF(COUNTA(J8,K8,L8)=0,"",ROUND((J8/20)*20*0.5+(K8/20)*20*0.3+(L8/20)*20*0.2,1))</f>
        <v/>
      </c>
      <c r="N8" s="10">
        <f>IF(M8="","",IF(M8&gt;=14,"APROBADO","DESAPROBADO"))</f>
        <v/>
      </c>
      <c r="O8" s="7" t="n"/>
    </row>
    <row r="9">
      <c r="A9" s="6" t="n">
        <v>3</v>
      </c>
      <c r="B9" s="6" t="n"/>
      <c r="C9" s="6" t="n"/>
      <c r="D9" s="7" t="n"/>
      <c r="E9" s="6" t="n"/>
      <c r="F9" s="6" t="n"/>
      <c r="G9" s="6" t="n"/>
      <c r="H9" s="6" t="n"/>
      <c r="I9" s="7" t="n"/>
      <c r="J9" s="8" t="n"/>
      <c r="K9" s="8" t="n"/>
      <c r="L9" s="8" t="n"/>
      <c r="M9" s="9">
        <f>IF(COUNTA(J9,K9,L9)=0,"",ROUND((J9/20)*20*0.5+(K9/20)*20*0.3+(L9/20)*20*0.2,1))</f>
        <v/>
      </c>
      <c r="N9" s="10">
        <f>IF(M9="","",IF(M9&gt;=14,"APROBADO","DESAPROBADO"))</f>
        <v/>
      </c>
      <c r="O9" s="7" t="n"/>
    </row>
    <row r="10">
      <c r="A10" s="6" t="n">
        <v>4</v>
      </c>
      <c r="B10" s="6" t="n"/>
      <c r="C10" s="6" t="n"/>
      <c r="D10" s="7" t="n"/>
      <c r="E10" s="6" t="n"/>
      <c r="F10" s="6" t="n"/>
      <c r="G10" s="6" t="n"/>
      <c r="H10" s="6" t="n"/>
      <c r="I10" s="7" t="n"/>
      <c r="J10" s="8" t="n"/>
      <c r="K10" s="8" t="n"/>
      <c r="L10" s="8" t="n"/>
      <c r="M10" s="9">
        <f>IF(COUNTA(J10,K10,L10)=0,"",ROUND((J10/20)*20*0.5+(K10/20)*20*0.3+(L10/20)*20*0.2,1))</f>
        <v/>
      </c>
      <c r="N10" s="10">
        <f>IF(M10="","",IF(M10&gt;=14,"APROBADO","DESAPROBADO"))</f>
        <v/>
      </c>
      <c r="O10" s="7" t="n"/>
    </row>
    <row r="11">
      <c r="A11" s="6" t="n">
        <v>5</v>
      </c>
      <c r="B11" s="6" t="n"/>
      <c r="C11" s="6" t="n"/>
      <c r="D11" s="7" t="n"/>
      <c r="E11" s="6" t="n"/>
      <c r="F11" s="6" t="n"/>
      <c r="G11" s="6" t="n"/>
      <c r="H11" s="6" t="n"/>
      <c r="I11" s="7" t="n"/>
      <c r="J11" s="8" t="n"/>
      <c r="K11" s="8" t="n"/>
      <c r="L11" s="8" t="n"/>
      <c r="M11" s="9">
        <f>IF(COUNTA(J11,K11,L11)=0,"",ROUND((J11/20)*20*0.5+(K11/20)*20*0.3+(L11/20)*20*0.2,1))</f>
        <v/>
      </c>
      <c r="N11" s="10">
        <f>IF(M11="","",IF(M11&gt;=14,"APROBADO","DESAPROBADO"))</f>
        <v/>
      </c>
      <c r="O11" s="7" t="n"/>
    </row>
    <row r="12">
      <c r="A12" s="6" t="n">
        <v>6</v>
      </c>
      <c r="B12" s="6" t="n"/>
      <c r="C12" s="6" t="n"/>
      <c r="D12" s="7" t="n"/>
      <c r="E12" s="6" t="n"/>
      <c r="F12" s="6" t="n"/>
      <c r="G12" s="6" t="n"/>
      <c r="H12" s="6" t="n"/>
      <c r="I12" s="7" t="n"/>
      <c r="J12" s="8" t="n"/>
      <c r="K12" s="8" t="n"/>
      <c r="L12" s="8" t="n"/>
      <c r="M12" s="9">
        <f>IF(COUNTA(J12,K12,L12)=0,"",ROUND((J12/20)*20*0.5+(K12/20)*20*0.3+(L12/20)*20*0.2,1))</f>
        <v/>
      </c>
      <c r="N12" s="10">
        <f>IF(M12="","",IF(M12&gt;=14,"APROBADO","DESAPROBADO"))</f>
        <v/>
      </c>
      <c r="O12" s="7" t="n"/>
    </row>
    <row r="13">
      <c r="A13" s="6" t="n">
        <v>7</v>
      </c>
      <c r="B13" s="6" t="n"/>
      <c r="C13" s="6" t="n"/>
      <c r="D13" s="7" t="n"/>
      <c r="E13" s="6" t="n"/>
      <c r="F13" s="6" t="n"/>
      <c r="G13" s="6" t="n"/>
      <c r="H13" s="6" t="n"/>
      <c r="I13" s="7" t="n"/>
      <c r="J13" s="8" t="n"/>
      <c r="K13" s="8" t="n"/>
      <c r="L13" s="8" t="n"/>
      <c r="M13" s="9">
        <f>IF(COUNTA(J13,K13,L13)=0,"",ROUND((J13/20)*20*0.5+(K13/20)*20*0.3+(L13/20)*20*0.2,1))</f>
        <v/>
      </c>
      <c r="N13" s="10">
        <f>IF(M13="","",IF(M13&gt;=14,"APROBADO","DESAPROBADO"))</f>
        <v/>
      </c>
      <c r="O13" s="7" t="n"/>
    </row>
    <row r="14">
      <c r="A14" s="6" t="n">
        <v>8</v>
      </c>
      <c r="B14" s="6" t="n"/>
      <c r="C14" s="6" t="n"/>
      <c r="D14" s="7" t="n"/>
      <c r="E14" s="6" t="n"/>
      <c r="F14" s="6" t="n"/>
      <c r="G14" s="6" t="n"/>
      <c r="H14" s="6" t="n"/>
      <c r="I14" s="7" t="n"/>
      <c r="J14" s="8" t="n"/>
      <c r="K14" s="8" t="n"/>
      <c r="L14" s="8" t="n"/>
      <c r="M14" s="9">
        <f>IF(COUNTA(J14,K14,L14)=0,"",ROUND((J14/20)*20*0.5+(K14/20)*20*0.3+(L14/20)*20*0.2,1))</f>
        <v/>
      </c>
      <c r="N14" s="10">
        <f>IF(M14="","",IF(M14&gt;=14,"APROBADO","DESAPROBADO"))</f>
        <v/>
      </c>
      <c r="O14" s="7" t="n"/>
    </row>
    <row r="15">
      <c r="A15" s="6" t="n">
        <v>9</v>
      </c>
      <c r="B15" s="6" t="n"/>
      <c r="C15" s="6" t="n"/>
      <c r="D15" s="7" t="n"/>
      <c r="E15" s="6" t="n"/>
      <c r="F15" s="6" t="n"/>
      <c r="G15" s="6" t="n"/>
      <c r="H15" s="6" t="n"/>
      <c r="I15" s="7" t="n"/>
      <c r="J15" s="8" t="n"/>
      <c r="K15" s="8" t="n"/>
      <c r="L15" s="8" t="n"/>
      <c r="M15" s="9">
        <f>IF(COUNTA(J15,K15,L15)=0,"",ROUND((J15/20)*20*0.5+(K15/20)*20*0.3+(L15/20)*20*0.2,1))</f>
        <v/>
      </c>
      <c r="N15" s="10">
        <f>IF(M15="","",IF(M15&gt;=14,"APROBADO","DESAPROBADO"))</f>
        <v/>
      </c>
      <c r="O15" s="7" t="n"/>
    </row>
    <row r="16">
      <c r="A16" s="6" t="n">
        <v>10</v>
      </c>
      <c r="B16" s="6" t="n"/>
      <c r="C16" s="6" t="n"/>
      <c r="D16" s="7" t="n"/>
      <c r="E16" s="6" t="n"/>
      <c r="F16" s="6" t="n"/>
      <c r="G16" s="6" t="n"/>
      <c r="H16" s="6" t="n"/>
      <c r="I16" s="7" t="n"/>
      <c r="J16" s="8" t="n"/>
      <c r="K16" s="8" t="n"/>
      <c r="L16" s="8" t="n"/>
      <c r="M16" s="9">
        <f>IF(COUNTA(J16,K16,L16)=0,"",ROUND((J16/20)*20*0.5+(K16/20)*20*0.3+(L16/20)*20*0.2,1))</f>
        <v/>
      </c>
      <c r="N16" s="10">
        <f>IF(M16="","",IF(M16&gt;=14,"APROBADO","DESAPROBADO"))</f>
        <v/>
      </c>
      <c r="O16" s="7" t="n"/>
    </row>
    <row r="17">
      <c r="A17" s="6" t="n">
        <v>11</v>
      </c>
      <c r="B17" s="6" t="n"/>
      <c r="C17" s="6" t="n"/>
      <c r="D17" s="7" t="n"/>
      <c r="E17" s="6" t="n"/>
      <c r="F17" s="6" t="n"/>
      <c r="G17" s="6" t="n"/>
      <c r="H17" s="6" t="n"/>
      <c r="I17" s="7" t="n"/>
      <c r="J17" s="8" t="n"/>
      <c r="K17" s="8" t="n"/>
      <c r="L17" s="8" t="n"/>
      <c r="M17" s="9">
        <f>IF(COUNTA(J17,K17,L17)=0,"",ROUND((J17/20)*20*0.5+(K17/20)*20*0.3+(L17/20)*20*0.2,1))</f>
        <v/>
      </c>
      <c r="N17" s="10">
        <f>IF(M17="","",IF(M17&gt;=14,"APROBADO","DESAPROBADO"))</f>
        <v/>
      </c>
      <c r="O17" s="7" t="n"/>
    </row>
    <row r="18">
      <c r="A18" s="6" t="n">
        <v>12</v>
      </c>
      <c r="B18" s="6" t="n"/>
      <c r="C18" s="6" t="n"/>
      <c r="D18" s="7" t="n"/>
      <c r="E18" s="6" t="n"/>
      <c r="F18" s="6" t="n"/>
      <c r="G18" s="6" t="n"/>
      <c r="H18" s="6" t="n"/>
      <c r="I18" s="7" t="n"/>
      <c r="J18" s="8" t="n"/>
      <c r="K18" s="8" t="n"/>
      <c r="L18" s="8" t="n"/>
      <c r="M18" s="9">
        <f>IF(COUNTA(J18,K18,L18)=0,"",ROUND((J18/20)*20*0.5+(K18/20)*20*0.3+(L18/20)*20*0.2,1))</f>
        <v/>
      </c>
      <c r="N18" s="10">
        <f>IF(M18="","",IF(M18&gt;=14,"APROBADO","DESAPROBADO"))</f>
        <v/>
      </c>
      <c r="O18" s="7" t="n"/>
    </row>
    <row r="19">
      <c r="A19" s="6" t="n">
        <v>13</v>
      </c>
      <c r="B19" s="6" t="n"/>
      <c r="C19" s="6" t="n"/>
      <c r="D19" s="7" t="n"/>
      <c r="E19" s="6" t="n"/>
      <c r="F19" s="6" t="n"/>
      <c r="G19" s="6" t="n"/>
      <c r="H19" s="6" t="n"/>
      <c r="I19" s="7" t="n"/>
      <c r="J19" s="8" t="n"/>
      <c r="K19" s="8" t="n"/>
      <c r="L19" s="8" t="n"/>
      <c r="M19" s="9">
        <f>IF(COUNTA(J19,K19,L19)=0,"",ROUND((J19/20)*20*0.5+(K19/20)*20*0.3+(L19/20)*20*0.2,1))</f>
        <v/>
      </c>
      <c r="N19" s="10">
        <f>IF(M19="","",IF(M19&gt;=14,"APROBADO","DESAPROBADO"))</f>
        <v/>
      </c>
      <c r="O19" s="7" t="n"/>
    </row>
    <row r="20">
      <c r="A20" s="6" t="n">
        <v>14</v>
      </c>
      <c r="B20" s="6" t="n"/>
      <c r="C20" s="6" t="n"/>
      <c r="D20" s="7" t="n"/>
      <c r="E20" s="6" t="n"/>
      <c r="F20" s="6" t="n"/>
      <c r="G20" s="6" t="n"/>
      <c r="H20" s="6" t="n"/>
      <c r="I20" s="7" t="n"/>
      <c r="J20" s="8" t="n"/>
      <c r="K20" s="8" t="n"/>
      <c r="L20" s="8" t="n"/>
      <c r="M20" s="9">
        <f>IF(COUNTA(J20,K20,L20)=0,"",ROUND((J20/20)*20*0.5+(K20/20)*20*0.3+(L20/20)*20*0.2,1))</f>
        <v/>
      </c>
      <c r="N20" s="10">
        <f>IF(M20="","",IF(M20&gt;=14,"APROBADO","DESAPROBADO"))</f>
        <v/>
      </c>
      <c r="O20" s="7" t="n"/>
    </row>
    <row r="21">
      <c r="A21" s="6" t="n">
        <v>15</v>
      </c>
      <c r="B21" s="6" t="n"/>
      <c r="C21" s="6" t="n"/>
      <c r="D21" s="7" t="n"/>
      <c r="E21" s="6" t="n"/>
      <c r="F21" s="6" t="n"/>
      <c r="G21" s="6" t="n"/>
      <c r="H21" s="6" t="n"/>
      <c r="I21" s="7" t="n"/>
      <c r="J21" s="8" t="n"/>
      <c r="K21" s="8" t="n"/>
      <c r="L21" s="8" t="n"/>
      <c r="M21" s="9">
        <f>IF(COUNTA(J21,K21,L21)=0,"",ROUND((J21/20)*20*0.5+(K21/20)*20*0.3+(L21/20)*20*0.2,1))</f>
        <v/>
      </c>
      <c r="N21" s="10">
        <f>IF(M21="","",IF(M21&gt;=14,"APROBADO","DESAPROBADO"))</f>
        <v/>
      </c>
      <c r="O21" s="7" t="n"/>
    </row>
    <row r="22">
      <c r="A22" s="6" t="n">
        <v>16</v>
      </c>
      <c r="B22" s="6" t="n"/>
      <c r="C22" s="6" t="n"/>
      <c r="D22" s="7" t="n"/>
      <c r="E22" s="6" t="n"/>
      <c r="F22" s="6" t="n"/>
      <c r="G22" s="6" t="n"/>
      <c r="H22" s="6" t="n"/>
      <c r="I22" s="7" t="n"/>
      <c r="J22" s="8" t="n"/>
      <c r="K22" s="8" t="n"/>
      <c r="L22" s="8" t="n"/>
      <c r="M22" s="9">
        <f>IF(COUNTA(J22,K22,L22)=0,"",ROUND((J22/20)*20*0.5+(K22/20)*20*0.3+(L22/20)*20*0.2,1))</f>
        <v/>
      </c>
      <c r="N22" s="10">
        <f>IF(M22="","",IF(M22&gt;=14,"APROBADO","DESAPROBADO"))</f>
        <v/>
      </c>
      <c r="O22" s="7" t="n"/>
    </row>
    <row r="23">
      <c r="A23" s="6" t="n">
        <v>17</v>
      </c>
      <c r="B23" s="6" t="n"/>
      <c r="C23" s="6" t="n"/>
      <c r="D23" s="7" t="n"/>
      <c r="E23" s="6" t="n"/>
      <c r="F23" s="6" t="n"/>
      <c r="G23" s="6" t="n"/>
      <c r="H23" s="6" t="n"/>
      <c r="I23" s="7" t="n"/>
      <c r="J23" s="8" t="n"/>
      <c r="K23" s="8" t="n"/>
      <c r="L23" s="8" t="n"/>
      <c r="M23" s="9">
        <f>IF(COUNTA(J23,K23,L23)=0,"",ROUND((J23/20)*20*0.5+(K23/20)*20*0.3+(L23/20)*20*0.2,1))</f>
        <v/>
      </c>
      <c r="N23" s="10">
        <f>IF(M23="","",IF(M23&gt;=14,"APROBADO","DESAPROBADO"))</f>
        <v/>
      </c>
      <c r="O23" s="7" t="n"/>
    </row>
    <row r="24">
      <c r="A24" s="6" t="n">
        <v>18</v>
      </c>
      <c r="B24" s="6" t="n"/>
      <c r="C24" s="6" t="n"/>
      <c r="D24" s="7" t="n"/>
      <c r="E24" s="6" t="n"/>
      <c r="F24" s="6" t="n"/>
      <c r="G24" s="6" t="n"/>
      <c r="H24" s="6" t="n"/>
      <c r="I24" s="7" t="n"/>
      <c r="J24" s="8" t="n"/>
      <c r="K24" s="8" t="n"/>
      <c r="L24" s="8" t="n"/>
      <c r="M24" s="9">
        <f>IF(COUNTA(J24,K24,L24)=0,"",ROUND((J24/20)*20*0.5+(K24/20)*20*0.3+(L24/20)*20*0.2,1))</f>
        <v/>
      </c>
      <c r="N24" s="10">
        <f>IF(M24="","",IF(M24&gt;=14,"APROBADO","DESAPROBADO"))</f>
        <v/>
      </c>
      <c r="O24" s="7" t="n"/>
    </row>
    <row r="25">
      <c r="A25" s="6" t="n">
        <v>19</v>
      </c>
      <c r="B25" s="6" t="n"/>
      <c r="C25" s="6" t="n"/>
      <c r="D25" s="7" t="n"/>
      <c r="E25" s="6" t="n"/>
      <c r="F25" s="6" t="n"/>
      <c r="G25" s="6" t="n"/>
      <c r="H25" s="6" t="n"/>
      <c r="I25" s="7" t="n"/>
      <c r="J25" s="8" t="n"/>
      <c r="K25" s="8" t="n"/>
      <c r="L25" s="8" t="n"/>
      <c r="M25" s="9">
        <f>IF(COUNTA(J25,K25,L25)=0,"",ROUND((J25/20)*20*0.5+(K25/20)*20*0.3+(L25/20)*20*0.2,1))</f>
        <v/>
      </c>
      <c r="N25" s="10">
        <f>IF(M25="","",IF(M25&gt;=14,"APROBADO","DESAPROBADO"))</f>
        <v/>
      </c>
      <c r="O25" s="7" t="n"/>
    </row>
    <row r="26">
      <c r="A26" s="6" t="n">
        <v>20</v>
      </c>
      <c r="B26" s="6" t="n"/>
      <c r="C26" s="6" t="n"/>
      <c r="D26" s="7" t="n"/>
      <c r="E26" s="6" t="n"/>
      <c r="F26" s="6" t="n"/>
      <c r="G26" s="6" t="n"/>
      <c r="H26" s="6" t="n"/>
      <c r="I26" s="7" t="n"/>
      <c r="J26" s="8" t="n"/>
      <c r="K26" s="8" t="n"/>
      <c r="L26" s="8" t="n"/>
      <c r="M26" s="9">
        <f>IF(COUNTA(J26,K26,L26)=0,"",ROUND((J26/20)*20*0.5+(K26/20)*20*0.3+(L26/20)*20*0.2,1))</f>
        <v/>
      </c>
      <c r="N26" s="10">
        <f>IF(M26="","",IF(M26&gt;=14,"APROBADO","DESAPROBADO"))</f>
        <v/>
      </c>
      <c r="O26" s="7" t="n"/>
    </row>
    <row r="27">
      <c r="A27" s="6" t="n">
        <v>21</v>
      </c>
      <c r="B27" s="6" t="n"/>
      <c r="C27" s="6" t="n"/>
      <c r="D27" s="7" t="n"/>
      <c r="E27" s="6" t="n"/>
      <c r="F27" s="6" t="n"/>
      <c r="G27" s="6" t="n"/>
      <c r="H27" s="6" t="n"/>
      <c r="I27" s="7" t="n"/>
      <c r="J27" s="8" t="n"/>
      <c r="K27" s="8" t="n"/>
      <c r="L27" s="8" t="n"/>
      <c r="M27" s="9">
        <f>IF(COUNTA(J27,K27,L27)=0,"",ROUND((J27/20)*20*0.5+(K27/20)*20*0.3+(L27/20)*20*0.2,1))</f>
        <v/>
      </c>
      <c r="N27" s="10">
        <f>IF(M27="","",IF(M27&gt;=14,"APROBADO","DESAPROBADO"))</f>
        <v/>
      </c>
      <c r="O27" s="7" t="n"/>
    </row>
    <row r="28">
      <c r="A28" s="6" t="n">
        <v>22</v>
      </c>
      <c r="B28" s="6" t="n"/>
      <c r="C28" s="6" t="n"/>
      <c r="D28" s="7" t="n"/>
      <c r="E28" s="6" t="n"/>
      <c r="F28" s="6" t="n"/>
      <c r="G28" s="6" t="n"/>
      <c r="H28" s="6" t="n"/>
      <c r="I28" s="7" t="n"/>
      <c r="J28" s="8" t="n"/>
      <c r="K28" s="8" t="n"/>
      <c r="L28" s="8" t="n"/>
      <c r="M28" s="9">
        <f>IF(COUNTA(J28,K28,L28)=0,"",ROUND((J28/20)*20*0.5+(K28/20)*20*0.3+(L28/20)*20*0.2,1))</f>
        <v/>
      </c>
      <c r="N28" s="10">
        <f>IF(M28="","",IF(M28&gt;=14,"APROBADO","DESAPROBADO"))</f>
        <v/>
      </c>
      <c r="O28" s="7" t="n"/>
    </row>
    <row r="29">
      <c r="A29" s="6" t="n">
        <v>23</v>
      </c>
      <c r="B29" s="6" t="n"/>
      <c r="C29" s="6" t="n"/>
      <c r="D29" s="7" t="n"/>
      <c r="E29" s="6" t="n"/>
      <c r="F29" s="6" t="n"/>
      <c r="G29" s="6" t="n"/>
      <c r="H29" s="6" t="n"/>
      <c r="I29" s="7" t="n"/>
      <c r="J29" s="8" t="n"/>
      <c r="K29" s="8" t="n"/>
      <c r="L29" s="8" t="n"/>
      <c r="M29" s="9">
        <f>IF(COUNTA(J29,K29,L29)=0,"",ROUND((J29/20)*20*0.5+(K29/20)*20*0.3+(L29/20)*20*0.2,1))</f>
        <v/>
      </c>
      <c r="N29" s="10">
        <f>IF(M29="","",IF(M29&gt;=14,"APROBADO","DESAPROBADO"))</f>
        <v/>
      </c>
      <c r="O29" s="7" t="n"/>
    </row>
    <row r="30">
      <c r="A30" s="6" t="n">
        <v>24</v>
      </c>
      <c r="B30" s="6" t="n"/>
      <c r="C30" s="6" t="n"/>
      <c r="D30" s="7" t="n"/>
      <c r="E30" s="6" t="n"/>
      <c r="F30" s="6" t="n"/>
      <c r="G30" s="6" t="n"/>
      <c r="H30" s="6" t="n"/>
      <c r="I30" s="7" t="n"/>
      <c r="J30" s="8" t="n"/>
      <c r="K30" s="8" t="n"/>
      <c r="L30" s="8" t="n"/>
      <c r="M30" s="9">
        <f>IF(COUNTA(J30,K30,L30)=0,"",ROUND((J30/20)*20*0.5+(K30/20)*20*0.3+(L30/20)*20*0.2,1))</f>
        <v/>
      </c>
      <c r="N30" s="10">
        <f>IF(M30="","",IF(M30&gt;=14,"APROBADO","DESAPROBADO"))</f>
        <v/>
      </c>
      <c r="O30" s="7" t="n"/>
    </row>
    <row r="31">
      <c r="A31" s="6" t="n">
        <v>25</v>
      </c>
      <c r="B31" s="6" t="n"/>
      <c r="C31" s="6" t="n"/>
      <c r="D31" s="7" t="n"/>
      <c r="E31" s="6" t="n"/>
      <c r="F31" s="6" t="n"/>
      <c r="G31" s="6" t="n"/>
      <c r="H31" s="6" t="n"/>
      <c r="I31" s="7" t="n"/>
      <c r="J31" s="8" t="n"/>
      <c r="K31" s="8" t="n"/>
      <c r="L31" s="8" t="n"/>
      <c r="M31" s="9">
        <f>IF(COUNTA(J31,K31,L31)=0,"",ROUND((J31/20)*20*0.5+(K31/20)*20*0.3+(L31/20)*20*0.2,1))</f>
        <v/>
      </c>
      <c r="N31" s="10">
        <f>IF(M31="","",IF(M31&gt;=14,"APROBADO","DESAPROBADO"))</f>
        <v/>
      </c>
      <c r="O31" s="7" t="n"/>
    </row>
    <row r="32">
      <c r="A32" s="6" t="n">
        <v>26</v>
      </c>
      <c r="B32" s="6" t="n"/>
      <c r="C32" s="6" t="n"/>
      <c r="D32" s="7" t="n"/>
      <c r="E32" s="6" t="n"/>
      <c r="F32" s="6" t="n"/>
      <c r="G32" s="6" t="n"/>
      <c r="H32" s="6" t="n"/>
      <c r="I32" s="7" t="n"/>
      <c r="J32" s="8" t="n"/>
      <c r="K32" s="8" t="n"/>
      <c r="L32" s="8" t="n"/>
      <c r="M32" s="9">
        <f>IF(COUNTA(J32,K32,L32)=0,"",ROUND((J32/20)*20*0.5+(K32/20)*20*0.3+(L32/20)*20*0.2,1))</f>
        <v/>
      </c>
      <c r="N32" s="10">
        <f>IF(M32="","",IF(M32&gt;=14,"APROBADO","DESAPROBADO"))</f>
        <v/>
      </c>
      <c r="O32" s="7" t="n"/>
    </row>
    <row r="33">
      <c r="A33" s="6" t="n">
        <v>27</v>
      </c>
      <c r="B33" s="6" t="n"/>
      <c r="C33" s="6" t="n"/>
      <c r="D33" s="7" t="n"/>
      <c r="E33" s="6" t="n"/>
      <c r="F33" s="6" t="n"/>
      <c r="G33" s="6" t="n"/>
      <c r="H33" s="6" t="n"/>
      <c r="I33" s="7" t="n"/>
      <c r="J33" s="8" t="n"/>
      <c r="K33" s="8" t="n"/>
      <c r="L33" s="8" t="n"/>
      <c r="M33" s="9">
        <f>IF(COUNTA(J33,K33,L33)=0,"",ROUND((J33/20)*20*0.5+(K33/20)*20*0.3+(L33/20)*20*0.2,1))</f>
        <v/>
      </c>
      <c r="N33" s="10">
        <f>IF(M33="","",IF(M33&gt;=14,"APROBADO","DESAPROBADO"))</f>
        <v/>
      </c>
      <c r="O33" s="7" t="n"/>
    </row>
    <row r="34">
      <c r="A34" s="6" t="n">
        <v>28</v>
      </c>
      <c r="B34" s="6" t="n"/>
      <c r="C34" s="6" t="n"/>
      <c r="D34" s="7" t="n"/>
      <c r="E34" s="6" t="n"/>
      <c r="F34" s="6" t="n"/>
      <c r="G34" s="6" t="n"/>
      <c r="H34" s="6" t="n"/>
      <c r="I34" s="7" t="n"/>
      <c r="J34" s="8" t="n"/>
      <c r="K34" s="8" t="n"/>
      <c r="L34" s="8" t="n"/>
      <c r="M34" s="9">
        <f>IF(COUNTA(J34,K34,L34)=0,"",ROUND((J34/20)*20*0.5+(K34/20)*20*0.3+(L34/20)*20*0.2,1))</f>
        <v/>
      </c>
      <c r="N34" s="10">
        <f>IF(M34="","",IF(M34&gt;=14,"APROBADO","DESAPROBADO"))</f>
        <v/>
      </c>
      <c r="O34" s="7" t="n"/>
    </row>
    <row r="35">
      <c r="A35" s="6" t="n">
        <v>29</v>
      </c>
      <c r="B35" s="6" t="n"/>
      <c r="C35" s="6" t="n"/>
      <c r="D35" s="7" t="n"/>
      <c r="E35" s="6" t="n"/>
      <c r="F35" s="6" t="n"/>
      <c r="G35" s="6" t="n"/>
      <c r="H35" s="6" t="n"/>
      <c r="I35" s="7" t="n"/>
      <c r="J35" s="8" t="n"/>
      <c r="K35" s="8" t="n"/>
      <c r="L35" s="8" t="n"/>
      <c r="M35" s="9">
        <f>IF(COUNTA(J35,K35,L35)=0,"",ROUND((J35/20)*20*0.5+(K35/20)*20*0.3+(L35/20)*20*0.2,1))</f>
        <v/>
      </c>
      <c r="N35" s="10">
        <f>IF(M35="","",IF(M35&gt;=14,"APROBADO","DESAPROBADO"))</f>
        <v/>
      </c>
      <c r="O35" s="7" t="n"/>
    </row>
    <row r="36">
      <c r="A36" s="6" t="n">
        <v>30</v>
      </c>
      <c r="B36" s="6" t="n"/>
      <c r="C36" s="6" t="n"/>
      <c r="D36" s="7" t="n"/>
      <c r="E36" s="6" t="n"/>
      <c r="F36" s="6" t="n"/>
      <c r="G36" s="6" t="n"/>
      <c r="H36" s="6" t="n"/>
      <c r="I36" s="7" t="n"/>
      <c r="J36" s="8" t="n"/>
      <c r="K36" s="8" t="n"/>
      <c r="L36" s="8" t="n"/>
      <c r="M36" s="9">
        <f>IF(COUNTA(J36,K36,L36)=0,"",ROUND((J36/20)*20*0.5+(K36/20)*20*0.3+(L36/20)*20*0.2,1))</f>
        <v/>
      </c>
      <c r="N36" s="10">
        <f>IF(M36="","",IF(M36&gt;=14,"APROBADO","DESAPROBADO"))</f>
        <v/>
      </c>
      <c r="O36" s="7" t="n"/>
    </row>
    <row r="37">
      <c r="A37" s="6" t="n">
        <v>31</v>
      </c>
      <c r="B37" s="6" t="n"/>
      <c r="C37" s="6" t="n"/>
      <c r="D37" s="7" t="n"/>
      <c r="E37" s="6" t="n"/>
      <c r="F37" s="6" t="n"/>
      <c r="G37" s="6" t="n"/>
      <c r="H37" s="6" t="n"/>
      <c r="I37" s="7" t="n"/>
      <c r="J37" s="8" t="n"/>
      <c r="K37" s="8" t="n"/>
      <c r="L37" s="8" t="n"/>
      <c r="M37" s="9">
        <f>IF(COUNTA(J37,K37,L37)=0,"",ROUND((J37/20)*20*0.5+(K37/20)*20*0.3+(L37/20)*20*0.2,1))</f>
        <v/>
      </c>
      <c r="N37" s="10">
        <f>IF(M37="","",IF(M37&gt;=14,"APROBADO","DESAPROBADO"))</f>
        <v/>
      </c>
      <c r="O37" s="7" t="n"/>
    </row>
    <row r="38">
      <c r="A38" s="6" t="n">
        <v>32</v>
      </c>
      <c r="B38" s="6" t="n"/>
      <c r="C38" s="6" t="n"/>
      <c r="D38" s="7" t="n"/>
      <c r="E38" s="6" t="n"/>
      <c r="F38" s="6" t="n"/>
      <c r="G38" s="6" t="n"/>
      <c r="H38" s="6" t="n"/>
      <c r="I38" s="7" t="n"/>
      <c r="J38" s="8" t="n"/>
      <c r="K38" s="8" t="n"/>
      <c r="L38" s="8" t="n"/>
      <c r="M38" s="9">
        <f>IF(COUNTA(J38,K38,L38)=0,"",ROUND((J38/20)*20*0.5+(K38/20)*20*0.3+(L38/20)*20*0.2,1))</f>
        <v/>
      </c>
      <c r="N38" s="10">
        <f>IF(M38="","",IF(M38&gt;=14,"APROBADO","DESAPROBADO"))</f>
        <v/>
      </c>
      <c r="O38" s="7" t="n"/>
    </row>
    <row r="39">
      <c r="A39" s="6" t="n">
        <v>33</v>
      </c>
      <c r="B39" s="6" t="n"/>
      <c r="C39" s="6" t="n"/>
      <c r="D39" s="7" t="n"/>
      <c r="E39" s="6" t="n"/>
      <c r="F39" s="6" t="n"/>
      <c r="G39" s="6" t="n"/>
      <c r="H39" s="6" t="n"/>
      <c r="I39" s="7" t="n"/>
      <c r="J39" s="8" t="n"/>
      <c r="K39" s="8" t="n"/>
      <c r="L39" s="8" t="n"/>
      <c r="M39" s="9">
        <f>IF(COUNTA(J39,K39,L39)=0,"",ROUND((J39/20)*20*0.5+(K39/20)*20*0.3+(L39/20)*20*0.2,1))</f>
        <v/>
      </c>
      <c r="N39" s="10">
        <f>IF(M39="","",IF(M39&gt;=14,"APROBADO","DESAPROBADO"))</f>
        <v/>
      </c>
      <c r="O39" s="7" t="n"/>
    </row>
    <row r="40">
      <c r="A40" s="6" t="n">
        <v>34</v>
      </c>
      <c r="B40" s="6" t="n"/>
      <c r="C40" s="6" t="n"/>
      <c r="D40" s="7" t="n"/>
      <c r="E40" s="6" t="n"/>
      <c r="F40" s="6" t="n"/>
      <c r="G40" s="6" t="n"/>
      <c r="H40" s="6" t="n"/>
      <c r="I40" s="7" t="n"/>
      <c r="J40" s="8" t="n"/>
      <c r="K40" s="8" t="n"/>
      <c r="L40" s="8" t="n"/>
      <c r="M40" s="9">
        <f>IF(COUNTA(J40,K40,L40)=0,"",ROUND((J40/20)*20*0.5+(K40/20)*20*0.3+(L40/20)*20*0.2,1))</f>
        <v/>
      </c>
      <c r="N40" s="10">
        <f>IF(M40="","",IF(M40&gt;=14,"APROBADO","DESAPROBADO"))</f>
        <v/>
      </c>
      <c r="O40" s="7" t="n"/>
    </row>
    <row r="41">
      <c r="A41" s="6" t="n">
        <v>35</v>
      </c>
      <c r="B41" s="6" t="n"/>
      <c r="C41" s="6" t="n"/>
      <c r="D41" s="7" t="n"/>
      <c r="E41" s="6" t="n"/>
      <c r="F41" s="6" t="n"/>
      <c r="G41" s="6" t="n"/>
      <c r="H41" s="6" t="n"/>
      <c r="I41" s="7" t="n"/>
      <c r="J41" s="8" t="n"/>
      <c r="K41" s="8" t="n"/>
      <c r="L41" s="8" t="n"/>
      <c r="M41" s="9">
        <f>IF(COUNTA(J41,K41,L41)=0,"",ROUND((J41/20)*20*0.5+(K41/20)*20*0.3+(L41/20)*20*0.2,1))</f>
        <v/>
      </c>
      <c r="N41" s="10">
        <f>IF(M41="","",IF(M41&gt;=14,"APROBADO","DESAPROBADO"))</f>
        <v/>
      </c>
      <c r="O41" s="7" t="n"/>
    </row>
    <row r="42">
      <c r="A42" s="6" t="n">
        <v>36</v>
      </c>
      <c r="B42" s="6" t="n"/>
      <c r="C42" s="6" t="n"/>
      <c r="D42" s="7" t="n"/>
      <c r="E42" s="6" t="n"/>
      <c r="F42" s="6" t="n"/>
      <c r="G42" s="6" t="n"/>
      <c r="H42" s="6" t="n"/>
      <c r="I42" s="7" t="n"/>
      <c r="J42" s="8" t="n"/>
      <c r="K42" s="8" t="n"/>
      <c r="L42" s="8" t="n"/>
      <c r="M42" s="9">
        <f>IF(COUNTA(J42,K42,L42)=0,"",ROUND((J42/20)*20*0.5+(K42/20)*20*0.3+(L42/20)*20*0.2,1))</f>
        <v/>
      </c>
      <c r="N42" s="10">
        <f>IF(M42="","",IF(M42&gt;=14,"APROBADO","DESAPROBADO"))</f>
        <v/>
      </c>
      <c r="O42" s="7" t="n"/>
    </row>
    <row r="43">
      <c r="A43" s="6" t="n">
        <v>37</v>
      </c>
      <c r="B43" s="6" t="n"/>
      <c r="C43" s="6" t="n"/>
      <c r="D43" s="7" t="n"/>
      <c r="E43" s="6" t="n"/>
      <c r="F43" s="6" t="n"/>
      <c r="G43" s="6" t="n"/>
      <c r="H43" s="6" t="n"/>
      <c r="I43" s="7" t="n"/>
      <c r="J43" s="8" t="n"/>
      <c r="K43" s="8" t="n"/>
      <c r="L43" s="8" t="n"/>
      <c r="M43" s="9">
        <f>IF(COUNTA(J43,K43,L43)=0,"",ROUND((J43/20)*20*0.5+(K43/20)*20*0.3+(L43/20)*20*0.2,1))</f>
        <v/>
      </c>
      <c r="N43" s="10">
        <f>IF(M43="","",IF(M43&gt;=14,"APROBADO","DESAPROBADO"))</f>
        <v/>
      </c>
      <c r="O43" s="7" t="n"/>
    </row>
    <row r="44">
      <c r="A44" s="6" t="n">
        <v>38</v>
      </c>
      <c r="B44" s="6" t="n"/>
      <c r="C44" s="6" t="n"/>
      <c r="D44" s="7" t="n"/>
      <c r="E44" s="6" t="n"/>
      <c r="F44" s="6" t="n"/>
      <c r="G44" s="6" t="n"/>
      <c r="H44" s="6" t="n"/>
      <c r="I44" s="7" t="n"/>
      <c r="J44" s="8" t="n"/>
      <c r="K44" s="8" t="n"/>
      <c r="L44" s="8" t="n"/>
      <c r="M44" s="9">
        <f>IF(COUNTA(J44,K44,L44)=0,"",ROUND((J44/20)*20*0.5+(K44/20)*20*0.3+(L44/20)*20*0.2,1))</f>
        <v/>
      </c>
      <c r="N44" s="10">
        <f>IF(M44="","",IF(M44&gt;=14,"APROBADO","DESAPROBADO"))</f>
        <v/>
      </c>
      <c r="O44" s="7" t="n"/>
    </row>
    <row r="45">
      <c r="A45" s="6" t="n">
        <v>39</v>
      </c>
      <c r="B45" s="6" t="n"/>
      <c r="C45" s="6" t="n"/>
      <c r="D45" s="7" t="n"/>
      <c r="E45" s="6" t="n"/>
      <c r="F45" s="6" t="n"/>
      <c r="G45" s="6" t="n"/>
      <c r="H45" s="6" t="n"/>
      <c r="I45" s="7" t="n"/>
      <c r="J45" s="8" t="n"/>
      <c r="K45" s="8" t="n"/>
      <c r="L45" s="8" t="n"/>
      <c r="M45" s="9">
        <f>IF(COUNTA(J45,K45,L45)=0,"",ROUND((J45/20)*20*0.5+(K45/20)*20*0.3+(L45/20)*20*0.2,1))</f>
        <v/>
      </c>
      <c r="N45" s="10">
        <f>IF(M45="","",IF(M45&gt;=14,"APROBADO","DESAPROBADO"))</f>
        <v/>
      </c>
      <c r="O45" s="7" t="n"/>
    </row>
    <row r="46">
      <c r="A46" s="6" t="n">
        <v>40</v>
      </c>
      <c r="B46" s="6" t="n"/>
      <c r="C46" s="6" t="n"/>
      <c r="D46" s="7" t="n"/>
      <c r="E46" s="6" t="n"/>
      <c r="F46" s="6" t="n"/>
      <c r="G46" s="6" t="n"/>
      <c r="H46" s="6" t="n"/>
      <c r="I46" s="7" t="n"/>
      <c r="J46" s="8" t="n"/>
      <c r="K46" s="8" t="n"/>
      <c r="L46" s="8" t="n"/>
      <c r="M46" s="9">
        <f>IF(COUNTA(J46,K46,L46)=0,"",ROUND((J46/20)*20*0.5+(K46/20)*20*0.3+(L46/20)*20*0.2,1))</f>
        <v/>
      </c>
      <c r="N46" s="10">
        <f>IF(M46="","",IF(M46&gt;=14,"APROBADO","DESAPROBADO"))</f>
        <v/>
      </c>
      <c r="O46" s="7" t="n"/>
    </row>
    <row r="47">
      <c r="A47" s="6" t="n">
        <v>41</v>
      </c>
      <c r="B47" s="6" t="n"/>
      <c r="C47" s="6" t="n"/>
      <c r="D47" s="7" t="n"/>
      <c r="E47" s="6" t="n"/>
      <c r="F47" s="6" t="n"/>
      <c r="G47" s="6" t="n"/>
      <c r="H47" s="6" t="n"/>
      <c r="I47" s="7" t="n"/>
      <c r="J47" s="8" t="n"/>
      <c r="K47" s="8" t="n"/>
      <c r="L47" s="8" t="n"/>
      <c r="M47" s="9">
        <f>IF(COUNTA(J47,K47,L47)=0,"",ROUND((J47/20)*20*0.5+(K47/20)*20*0.3+(L47/20)*20*0.2,1))</f>
        <v/>
      </c>
      <c r="N47" s="10">
        <f>IF(M47="","",IF(M47&gt;=14,"APROBADO","DESAPROBADO"))</f>
        <v/>
      </c>
      <c r="O47" s="7" t="n"/>
    </row>
    <row r="48">
      <c r="A48" s="6" t="n">
        <v>42</v>
      </c>
      <c r="B48" s="6" t="n"/>
      <c r="C48" s="6" t="n"/>
      <c r="D48" s="7" t="n"/>
      <c r="E48" s="6" t="n"/>
      <c r="F48" s="6" t="n"/>
      <c r="G48" s="6" t="n"/>
      <c r="H48" s="6" t="n"/>
      <c r="I48" s="7" t="n"/>
      <c r="J48" s="8" t="n"/>
      <c r="K48" s="8" t="n"/>
      <c r="L48" s="8" t="n"/>
      <c r="M48" s="9">
        <f>IF(COUNTA(J48,K48,L48)=0,"",ROUND((J48/20)*20*0.5+(K48/20)*20*0.3+(L48/20)*20*0.2,1))</f>
        <v/>
      </c>
      <c r="N48" s="10">
        <f>IF(M48="","",IF(M48&gt;=14,"APROBADO","DESAPROBADO"))</f>
        <v/>
      </c>
      <c r="O48" s="7" t="n"/>
    </row>
    <row r="49">
      <c r="A49" s="6" t="n">
        <v>43</v>
      </c>
      <c r="B49" s="6" t="n"/>
      <c r="C49" s="6" t="n"/>
      <c r="D49" s="7" t="n"/>
      <c r="E49" s="6" t="n"/>
      <c r="F49" s="6" t="n"/>
      <c r="G49" s="6" t="n"/>
      <c r="H49" s="6" t="n"/>
      <c r="I49" s="7" t="n"/>
      <c r="J49" s="8" t="n"/>
      <c r="K49" s="8" t="n"/>
      <c r="L49" s="8" t="n"/>
      <c r="M49" s="9">
        <f>IF(COUNTA(J49,K49,L49)=0,"",ROUND((J49/20)*20*0.5+(K49/20)*20*0.3+(L49/20)*20*0.2,1))</f>
        <v/>
      </c>
      <c r="N49" s="10">
        <f>IF(M49="","",IF(M49&gt;=14,"APROBADO","DESAPROBADO"))</f>
        <v/>
      </c>
      <c r="O49" s="7" t="n"/>
    </row>
    <row r="50">
      <c r="A50" s="6" t="n">
        <v>44</v>
      </c>
      <c r="B50" s="6" t="n"/>
      <c r="C50" s="6" t="n"/>
      <c r="D50" s="7" t="n"/>
      <c r="E50" s="6" t="n"/>
      <c r="F50" s="6" t="n"/>
      <c r="G50" s="6" t="n"/>
      <c r="H50" s="6" t="n"/>
      <c r="I50" s="7" t="n"/>
      <c r="J50" s="8" t="n"/>
      <c r="K50" s="8" t="n"/>
      <c r="L50" s="8" t="n"/>
      <c r="M50" s="9">
        <f>IF(COUNTA(J50,K50,L50)=0,"",ROUND((J50/20)*20*0.5+(K50/20)*20*0.3+(L50/20)*20*0.2,1))</f>
        <v/>
      </c>
      <c r="N50" s="10">
        <f>IF(M50="","",IF(M50&gt;=14,"APROBADO","DESAPROBADO"))</f>
        <v/>
      </c>
      <c r="O50" s="7" t="n"/>
    </row>
    <row r="51">
      <c r="A51" s="6" t="n">
        <v>45</v>
      </c>
      <c r="B51" s="6" t="n"/>
      <c r="C51" s="6" t="n"/>
      <c r="D51" s="7" t="n"/>
      <c r="E51" s="6" t="n"/>
      <c r="F51" s="6" t="n"/>
      <c r="G51" s="6" t="n"/>
      <c r="H51" s="6" t="n"/>
      <c r="I51" s="7" t="n"/>
      <c r="J51" s="8" t="n"/>
      <c r="K51" s="8" t="n"/>
      <c r="L51" s="8" t="n"/>
      <c r="M51" s="9">
        <f>IF(COUNTA(J51,K51,L51)=0,"",ROUND((J51/20)*20*0.5+(K51/20)*20*0.3+(L51/20)*20*0.2,1))</f>
        <v/>
      </c>
      <c r="N51" s="10">
        <f>IF(M51="","",IF(M51&gt;=14,"APROBADO","DESAPROBADO"))</f>
        <v/>
      </c>
      <c r="O51" s="7" t="n"/>
    </row>
    <row r="52">
      <c r="A52" s="6" t="n">
        <v>46</v>
      </c>
      <c r="B52" s="6" t="n"/>
      <c r="C52" s="6" t="n"/>
      <c r="D52" s="7" t="n"/>
      <c r="E52" s="6" t="n"/>
      <c r="F52" s="6" t="n"/>
      <c r="G52" s="6" t="n"/>
      <c r="H52" s="6" t="n"/>
      <c r="I52" s="7" t="n"/>
      <c r="J52" s="8" t="n"/>
      <c r="K52" s="8" t="n"/>
      <c r="L52" s="8" t="n"/>
      <c r="M52" s="9">
        <f>IF(COUNTA(J52,K52,L52)=0,"",ROUND((J52/20)*20*0.5+(K52/20)*20*0.3+(L52/20)*20*0.2,1))</f>
        <v/>
      </c>
      <c r="N52" s="10">
        <f>IF(M52="","",IF(M52&gt;=14,"APROBADO","DESAPROBADO"))</f>
        <v/>
      </c>
      <c r="O52" s="7" t="n"/>
    </row>
    <row r="53">
      <c r="A53" s="6" t="n">
        <v>47</v>
      </c>
      <c r="B53" s="6" t="n"/>
      <c r="C53" s="6" t="n"/>
      <c r="D53" s="7" t="n"/>
      <c r="E53" s="6" t="n"/>
      <c r="F53" s="6" t="n"/>
      <c r="G53" s="6" t="n"/>
      <c r="H53" s="6" t="n"/>
      <c r="I53" s="7" t="n"/>
      <c r="J53" s="8" t="n"/>
      <c r="K53" s="8" t="n"/>
      <c r="L53" s="8" t="n"/>
      <c r="M53" s="9">
        <f>IF(COUNTA(J53,K53,L53)=0,"",ROUND((J53/20)*20*0.5+(K53/20)*20*0.3+(L53/20)*20*0.2,1))</f>
        <v/>
      </c>
      <c r="N53" s="10">
        <f>IF(M53="","",IF(M53&gt;=14,"APROBADO","DESAPROBADO"))</f>
        <v/>
      </c>
      <c r="O53" s="7" t="n"/>
    </row>
    <row r="54">
      <c r="A54" s="6" t="n">
        <v>48</v>
      </c>
      <c r="B54" s="6" t="n"/>
      <c r="C54" s="6" t="n"/>
      <c r="D54" s="7" t="n"/>
      <c r="E54" s="6" t="n"/>
      <c r="F54" s="6" t="n"/>
      <c r="G54" s="6" t="n"/>
      <c r="H54" s="6" t="n"/>
      <c r="I54" s="7" t="n"/>
      <c r="J54" s="8" t="n"/>
      <c r="K54" s="8" t="n"/>
      <c r="L54" s="8" t="n"/>
      <c r="M54" s="9">
        <f>IF(COUNTA(J54,K54,L54)=0,"",ROUND((J54/20)*20*0.5+(K54/20)*20*0.3+(L54/20)*20*0.2,1))</f>
        <v/>
      </c>
      <c r="N54" s="10">
        <f>IF(M54="","",IF(M54&gt;=14,"APROBADO","DESAPROBADO"))</f>
        <v/>
      </c>
      <c r="O54" s="7" t="n"/>
    </row>
    <row r="55">
      <c r="A55" s="6" t="n">
        <v>49</v>
      </c>
      <c r="B55" s="6" t="n"/>
      <c r="C55" s="6" t="n"/>
      <c r="D55" s="7" t="n"/>
      <c r="E55" s="6" t="n"/>
      <c r="F55" s="6" t="n"/>
      <c r="G55" s="6" t="n"/>
      <c r="H55" s="6" t="n"/>
      <c r="I55" s="7" t="n"/>
      <c r="J55" s="8" t="n"/>
      <c r="K55" s="8" t="n"/>
      <c r="L55" s="8" t="n"/>
      <c r="M55" s="9">
        <f>IF(COUNTA(J55,K55,L55)=0,"",ROUND((J55/20)*20*0.5+(K55/20)*20*0.3+(L55/20)*20*0.2,1))</f>
        <v/>
      </c>
      <c r="N55" s="10">
        <f>IF(M55="","",IF(M55&gt;=14,"APROBADO","DESAPROBADO"))</f>
        <v/>
      </c>
      <c r="O55" s="7" t="n"/>
    </row>
    <row r="56">
      <c r="A56" s="6" t="n">
        <v>50</v>
      </c>
      <c r="B56" s="6" t="n"/>
      <c r="C56" s="6" t="n"/>
      <c r="D56" s="7" t="n"/>
      <c r="E56" s="6" t="n"/>
      <c r="F56" s="6" t="n"/>
      <c r="G56" s="6" t="n"/>
      <c r="H56" s="6" t="n"/>
      <c r="I56" s="7" t="n"/>
      <c r="J56" s="8" t="n"/>
      <c r="K56" s="8" t="n"/>
      <c r="L56" s="8" t="n"/>
      <c r="M56" s="9">
        <f>IF(COUNTA(J56,K56,L56)=0,"",ROUND((J56/20)*20*0.5+(K56/20)*20*0.3+(L56/20)*20*0.2,1))</f>
        <v/>
      </c>
      <c r="N56" s="10">
        <f>IF(M56="","",IF(M56&gt;=14,"APROBADO","DESAPROBADO"))</f>
        <v/>
      </c>
      <c r="O56" s="7" t="n"/>
    </row>
    <row r="57">
      <c r="A57" s="6" t="n">
        <v>51</v>
      </c>
      <c r="B57" s="6" t="n"/>
      <c r="C57" s="6" t="n"/>
      <c r="D57" s="7" t="n"/>
      <c r="E57" s="6" t="n"/>
      <c r="F57" s="6" t="n"/>
      <c r="G57" s="6" t="n"/>
      <c r="H57" s="6" t="n"/>
      <c r="I57" s="7" t="n"/>
      <c r="J57" s="8" t="n"/>
      <c r="K57" s="8" t="n"/>
      <c r="L57" s="8" t="n"/>
      <c r="M57" s="9">
        <f>IF(COUNTA(J57,K57,L57)=0,"",ROUND((J57/20)*20*0.5+(K57/20)*20*0.3+(L57/20)*20*0.2,1))</f>
        <v/>
      </c>
      <c r="N57" s="10">
        <f>IF(M57="","",IF(M57&gt;=14,"APROBADO","DESAPROBADO"))</f>
        <v/>
      </c>
      <c r="O57" s="7" t="n"/>
    </row>
    <row r="58">
      <c r="A58" s="6" t="n">
        <v>52</v>
      </c>
      <c r="B58" s="6" t="n"/>
      <c r="C58" s="6" t="n"/>
      <c r="D58" s="7" t="n"/>
      <c r="E58" s="6" t="n"/>
      <c r="F58" s="6" t="n"/>
      <c r="G58" s="6" t="n"/>
      <c r="H58" s="6" t="n"/>
      <c r="I58" s="7" t="n"/>
      <c r="J58" s="8" t="n"/>
      <c r="K58" s="8" t="n"/>
      <c r="L58" s="8" t="n"/>
      <c r="M58" s="9">
        <f>IF(COUNTA(J58,K58,L58)=0,"",ROUND((J58/20)*20*0.5+(K58/20)*20*0.3+(L58/20)*20*0.2,1))</f>
        <v/>
      </c>
      <c r="N58" s="10">
        <f>IF(M58="","",IF(M58&gt;=14,"APROBADO","DESAPROBADO"))</f>
        <v/>
      </c>
      <c r="O58" s="7" t="n"/>
    </row>
    <row r="59">
      <c r="A59" s="6" t="n">
        <v>53</v>
      </c>
      <c r="B59" s="6" t="n"/>
      <c r="C59" s="6" t="n"/>
      <c r="D59" s="7" t="n"/>
      <c r="E59" s="6" t="n"/>
      <c r="F59" s="6" t="n"/>
      <c r="G59" s="6" t="n"/>
      <c r="H59" s="6" t="n"/>
      <c r="I59" s="7" t="n"/>
      <c r="J59" s="8" t="n"/>
      <c r="K59" s="8" t="n"/>
      <c r="L59" s="8" t="n"/>
      <c r="M59" s="9">
        <f>IF(COUNTA(J59,K59,L59)=0,"",ROUND((J59/20)*20*0.5+(K59/20)*20*0.3+(L59/20)*20*0.2,1))</f>
        <v/>
      </c>
      <c r="N59" s="10">
        <f>IF(M59="","",IF(M59&gt;=14,"APROBADO","DESAPROBADO"))</f>
        <v/>
      </c>
      <c r="O59" s="7" t="n"/>
    </row>
    <row r="60">
      <c r="A60" s="6" t="n">
        <v>54</v>
      </c>
      <c r="B60" s="6" t="n"/>
      <c r="C60" s="6" t="n"/>
      <c r="D60" s="7" t="n"/>
      <c r="E60" s="6" t="n"/>
      <c r="F60" s="6" t="n"/>
      <c r="G60" s="6" t="n"/>
      <c r="H60" s="6" t="n"/>
      <c r="I60" s="7" t="n"/>
      <c r="J60" s="8" t="n"/>
      <c r="K60" s="8" t="n"/>
      <c r="L60" s="8" t="n"/>
      <c r="M60" s="9">
        <f>IF(COUNTA(J60,K60,L60)=0,"",ROUND((J60/20)*20*0.5+(K60/20)*20*0.3+(L60/20)*20*0.2,1))</f>
        <v/>
      </c>
      <c r="N60" s="10">
        <f>IF(M60="","",IF(M60&gt;=14,"APROBADO","DESAPROBADO"))</f>
        <v/>
      </c>
      <c r="O60" s="7" t="n"/>
    </row>
    <row r="61">
      <c r="A61" s="6" t="n">
        <v>55</v>
      </c>
      <c r="B61" s="6" t="n"/>
      <c r="C61" s="6" t="n"/>
      <c r="D61" s="7" t="n"/>
      <c r="E61" s="6" t="n"/>
      <c r="F61" s="6" t="n"/>
      <c r="G61" s="6" t="n"/>
      <c r="H61" s="6" t="n"/>
      <c r="I61" s="7" t="n"/>
      <c r="J61" s="8" t="n"/>
      <c r="K61" s="8" t="n"/>
      <c r="L61" s="8" t="n"/>
      <c r="M61" s="9">
        <f>IF(COUNTA(J61,K61,L61)=0,"",ROUND((J61/20)*20*0.5+(K61/20)*20*0.3+(L61/20)*20*0.2,1))</f>
        <v/>
      </c>
      <c r="N61" s="10">
        <f>IF(M61="","",IF(M61&gt;=14,"APROBADO","DESAPROBADO"))</f>
        <v/>
      </c>
      <c r="O61" s="7" t="n"/>
    </row>
    <row r="62">
      <c r="A62" s="6" t="n">
        <v>56</v>
      </c>
      <c r="B62" s="6" t="n"/>
      <c r="C62" s="6" t="n"/>
      <c r="D62" s="7" t="n"/>
      <c r="E62" s="6" t="n"/>
      <c r="F62" s="6" t="n"/>
      <c r="G62" s="6" t="n"/>
      <c r="H62" s="6" t="n"/>
      <c r="I62" s="7" t="n"/>
      <c r="J62" s="8" t="n"/>
      <c r="K62" s="8" t="n"/>
      <c r="L62" s="8" t="n"/>
      <c r="M62" s="9">
        <f>IF(COUNTA(J62,K62,L62)=0,"",ROUND((J62/20)*20*0.5+(K62/20)*20*0.3+(L62/20)*20*0.2,1))</f>
        <v/>
      </c>
      <c r="N62" s="10">
        <f>IF(M62="","",IF(M62&gt;=14,"APROBADO","DESAPROBADO"))</f>
        <v/>
      </c>
      <c r="O62" s="7" t="n"/>
    </row>
    <row r="63">
      <c r="A63" s="6" t="n">
        <v>57</v>
      </c>
      <c r="B63" s="6" t="n"/>
      <c r="C63" s="6" t="n"/>
      <c r="D63" s="7" t="n"/>
      <c r="E63" s="6" t="n"/>
      <c r="F63" s="6" t="n"/>
      <c r="G63" s="6" t="n"/>
      <c r="H63" s="6" t="n"/>
      <c r="I63" s="7" t="n"/>
      <c r="J63" s="8" t="n"/>
      <c r="K63" s="8" t="n"/>
      <c r="L63" s="8" t="n"/>
      <c r="M63" s="9">
        <f>IF(COUNTA(J63,K63,L63)=0,"",ROUND((J63/20)*20*0.5+(K63/20)*20*0.3+(L63/20)*20*0.2,1))</f>
        <v/>
      </c>
      <c r="N63" s="10">
        <f>IF(M63="","",IF(M63&gt;=14,"APROBADO","DESAPROBADO"))</f>
        <v/>
      </c>
      <c r="O63" s="7" t="n"/>
    </row>
    <row r="64">
      <c r="A64" s="6" t="n">
        <v>58</v>
      </c>
      <c r="B64" s="6" t="n"/>
      <c r="C64" s="6" t="n"/>
      <c r="D64" s="7" t="n"/>
      <c r="E64" s="6" t="n"/>
      <c r="F64" s="6" t="n"/>
      <c r="G64" s="6" t="n"/>
      <c r="H64" s="6" t="n"/>
      <c r="I64" s="7" t="n"/>
      <c r="J64" s="8" t="n"/>
      <c r="K64" s="8" t="n"/>
      <c r="L64" s="8" t="n"/>
      <c r="M64" s="9">
        <f>IF(COUNTA(J64,K64,L64)=0,"",ROUND((J64/20)*20*0.5+(K64/20)*20*0.3+(L64/20)*20*0.2,1))</f>
        <v/>
      </c>
      <c r="N64" s="10">
        <f>IF(M64="","",IF(M64&gt;=14,"APROBADO","DESAPROBADO"))</f>
        <v/>
      </c>
      <c r="O64" s="7" t="n"/>
    </row>
    <row r="65">
      <c r="A65" s="6" t="n">
        <v>59</v>
      </c>
      <c r="B65" s="6" t="n"/>
      <c r="C65" s="6" t="n"/>
      <c r="D65" s="7" t="n"/>
      <c r="E65" s="6" t="n"/>
      <c r="F65" s="6" t="n"/>
      <c r="G65" s="6" t="n"/>
      <c r="H65" s="6" t="n"/>
      <c r="I65" s="7" t="n"/>
      <c r="J65" s="8" t="n"/>
      <c r="K65" s="8" t="n"/>
      <c r="L65" s="8" t="n"/>
      <c r="M65" s="9">
        <f>IF(COUNTA(J65,K65,L65)=0,"",ROUND((J65/20)*20*0.5+(K65/20)*20*0.3+(L65/20)*20*0.2,1))</f>
        <v/>
      </c>
      <c r="N65" s="10">
        <f>IF(M65="","",IF(M65&gt;=14,"APROBADO","DESAPROBADO"))</f>
        <v/>
      </c>
      <c r="O65" s="7" t="n"/>
    </row>
    <row r="66">
      <c r="A66" s="6" t="n">
        <v>60</v>
      </c>
      <c r="B66" s="6" t="n"/>
      <c r="C66" s="6" t="n"/>
      <c r="D66" s="7" t="n"/>
      <c r="E66" s="6" t="n"/>
      <c r="F66" s="6" t="n"/>
      <c r="G66" s="6" t="n"/>
      <c r="H66" s="6" t="n"/>
      <c r="I66" s="7" t="n"/>
      <c r="J66" s="8" t="n"/>
      <c r="K66" s="8" t="n"/>
      <c r="L66" s="8" t="n"/>
      <c r="M66" s="9">
        <f>IF(COUNTA(J66,K66,L66)=0,"",ROUND((J66/20)*20*0.5+(K66/20)*20*0.3+(L66/20)*20*0.2,1))</f>
        <v/>
      </c>
      <c r="N66" s="10">
        <f>IF(M66="","",IF(M66&gt;=14,"APROBADO","DESAPROBADO"))</f>
        <v/>
      </c>
      <c r="O66" s="7" t="n"/>
    </row>
    <row r="67">
      <c r="A67" s="6" t="n">
        <v>61</v>
      </c>
      <c r="B67" s="6" t="n"/>
      <c r="C67" s="6" t="n"/>
      <c r="D67" s="7" t="n"/>
      <c r="E67" s="6" t="n"/>
      <c r="F67" s="6" t="n"/>
      <c r="G67" s="6" t="n"/>
      <c r="H67" s="6" t="n"/>
      <c r="I67" s="7" t="n"/>
      <c r="J67" s="8" t="n"/>
      <c r="K67" s="8" t="n"/>
      <c r="L67" s="8" t="n"/>
      <c r="M67" s="9">
        <f>IF(COUNTA(J67,K67,L67)=0,"",ROUND((J67/20)*20*0.5+(K67/20)*20*0.3+(L67/20)*20*0.2,1))</f>
        <v/>
      </c>
      <c r="N67" s="10">
        <f>IF(M67="","",IF(M67&gt;=14,"APROBADO","DESAPROBADO"))</f>
        <v/>
      </c>
      <c r="O67" s="7" t="n"/>
    </row>
    <row r="68">
      <c r="A68" s="6" t="n">
        <v>62</v>
      </c>
      <c r="B68" s="6" t="n"/>
      <c r="C68" s="6" t="n"/>
      <c r="D68" s="7" t="n"/>
      <c r="E68" s="6" t="n"/>
      <c r="F68" s="6" t="n"/>
      <c r="G68" s="6" t="n"/>
      <c r="H68" s="6" t="n"/>
      <c r="I68" s="7" t="n"/>
      <c r="J68" s="8" t="n"/>
      <c r="K68" s="8" t="n"/>
      <c r="L68" s="8" t="n"/>
      <c r="M68" s="9">
        <f>IF(COUNTA(J68,K68,L68)=0,"",ROUND((J68/20)*20*0.5+(K68/20)*20*0.3+(L68/20)*20*0.2,1))</f>
        <v/>
      </c>
      <c r="N68" s="10">
        <f>IF(M68="","",IF(M68&gt;=14,"APROBADO","DESAPROBADO"))</f>
        <v/>
      </c>
      <c r="O68" s="7" t="n"/>
    </row>
    <row r="69">
      <c r="A69" s="6" t="n">
        <v>63</v>
      </c>
      <c r="B69" s="6" t="n"/>
      <c r="C69" s="6" t="n"/>
      <c r="D69" s="7" t="n"/>
      <c r="E69" s="6" t="n"/>
      <c r="F69" s="6" t="n"/>
      <c r="G69" s="6" t="n"/>
      <c r="H69" s="6" t="n"/>
      <c r="I69" s="7" t="n"/>
      <c r="J69" s="8" t="n"/>
      <c r="K69" s="8" t="n"/>
      <c r="L69" s="8" t="n"/>
      <c r="M69" s="9">
        <f>IF(COUNTA(J69,K69,L69)=0,"",ROUND((J69/20)*20*0.5+(K69/20)*20*0.3+(L69/20)*20*0.2,1))</f>
        <v/>
      </c>
      <c r="N69" s="10">
        <f>IF(M69="","",IF(M69&gt;=14,"APROBADO","DESAPROBADO"))</f>
        <v/>
      </c>
      <c r="O69" s="7" t="n"/>
    </row>
    <row r="70">
      <c r="A70" s="6" t="n">
        <v>64</v>
      </c>
      <c r="B70" s="6" t="n"/>
      <c r="C70" s="6" t="n"/>
      <c r="D70" s="7" t="n"/>
      <c r="E70" s="6" t="n"/>
      <c r="F70" s="6" t="n"/>
      <c r="G70" s="6" t="n"/>
      <c r="H70" s="6" t="n"/>
      <c r="I70" s="7" t="n"/>
      <c r="J70" s="8" t="n"/>
      <c r="K70" s="8" t="n"/>
      <c r="L70" s="8" t="n"/>
      <c r="M70" s="9">
        <f>IF(COUNTA(J70,K70,L70)=0,"",ROUND((J70/20)*20*0.5+(K70/20)*20*0.3+(L70/20)*20*0.2,1))</f>
        <v/>
      </c>
      <c r="N70" s="10">
        <f>IF(M70="","",IF(M70&gt;=14,"APROBADO","DESAPROBADO"))</f>
        <v/>
      </c>
      <c r="O70" s="7" t="n"/>
    </row>
    <row r="71">
      <c r="A71" s="6" t="n">
        <v>65</v>
      </c>
      <c r="B71" s="6" t="n"/>
      <c r="C71" s="6" t="n"/>
      <c r="D71" s="7" t="n"/>
      <c r="E71" s="6" t="n"/>
      <c r="F71" s="6" t="n"/>
      <c r="G71" s="6" t="n"/>
      <c r="H71" s="6" t="n"/>
      <c r="I71" s="7" t="n"/>
      <c r="J71" s="8" t="n"/>
      <c r="K71" s="8" t="n"/>
      <c r="L71" s="8" t="n"/>
      <c r="M71" s="9">
        <f>IF(COUNTA(J71,K71,L71)=0,"",ROUND((J71/20)*20*0.5+(K71/20)*20*0.3+(L71/20)*20*0.2,1))</f>
        <v/>
      </c>
      <c r="N71" s="10">
        <f>IF(M71="","",IF(M71&gt;=14,"APROBADO","DESAPROBADO"))</f>
        <v/>
      </c>
      <c r="O71" s="7" t="n"/>
    </row>
    <row r="72">
      <c r="A72" s="6" t="n">
        <v>66</v>
      </c>
      <c r="B72" s="6" t="n"/>
      <c r="C72" s="6" t="n"/>
      <c r="D72" s="7" t="n"/>
      <c r="E72" s="6" t="n"/>
      <c r="F72" s="6" t="n"/>
      <c r="G72" s="6" t="n"/>
      <c r="H72" s="6" t="n"/>
      <c r="I72" s="7" t="n"/>
      <c r="J72" s="8" t="n"/>
      <c r="K72" s="8" t="n"/>
      <c r="L72" s="8" t="n"/>
      <c r="M72" s="9">
        <f>IF(COUNTA(J72,K72,L72)=0,"",ROUND((J72/20)*20*0.5+(K72/20)*20*0.3+(L72/20)*20*0.2,1))</f>
        <v/>
      </c>
      <c r="N72" s="10">
        <f>IF(M72="","",IF(M72&gt;=14,"APROBADO","DESAPROBADO"))</f>
        <v/>
      </c>
      <c r="O72" s="7" t="n"/>
    </row>
    <row r="73">
      <c r="A73" s="6" t="n">
        <v>67</v>
      </c>
      <c r="B73" s="6" t="n"/>
      <c r="C73" s="6" t="n"/>
      <c r="D73" s="7" t="n"/>
      <c r="E73" s="6" t="n"/>
      <c r="F73" s="6" t="n"/>
      <c r="G73" s="6" t="n"/>
      <c r="H73" s="6" t="n"/>
      <c r="I73" s="7" t="n"/>
      <c r="J73" s="8" t="n"/>
      <c r="K73" s="8" t="n"/>
      <c r="L73" s="8" t="n"/>
      <c r="M73" s="9">
        <f>IF(COUNTA(J73,K73,L73)=0,"",ROUND((J73/20)*20*0.5+(K73/20)*20*0.3+(L73/20)*20*0.2,1))</f>
        <v/>
      </c>
      <c r="N73" s="10">
        <f>IF(M73="","",IF(M73&gt;=14,"APROBADO","DESAPROBADO"))</f>
        <v/>
      </c>
      <c r="O73" s="7" t="n"/>
    </row>
    <row r="74">
      <c r="A74" s="6" t="n">
        <v>68</v>
      </c>
      <c r="B74" s="6" t="n"/>
      <c r="C74" s="6" t="n"/>
      <c r="D74" s="7" t="n"/>
      <c r="E74" s="6" t="n"/>
      <c r="F74" s="6" t="n"/>
      <c r="G74" s="6" t="n"/>
      <c r="H74" s="6" t="n"/>
      <c r="I74" s="7" t="n"/>
      <c r="J74" s="8" t="n"/>
      <c r="K74" s="8" t="n"/>
      <c r="L74" s="8" t="n"/>
      <c r="M74" s="9">
        <f>IF(COUNTA(J74,K74,L74)=0,"",ROUND((J74/20)*20*0.5+(K74/20)*20*0.3+(L74/20)*20*0.2,1))</f>
        <v/>
      </c>
      <c r="N74" s="10">
        <f>IF(M74="","",IF(M74&gt;=14,"APROBADO","DESAPROBADO"))</f>
        <v/>
      </c>
      <c r="O74" s="7" t="n"/>
    </row>
    <row r="75">
      <c r="A75" s="6" t="n">
        <v>69</v>
      </c>
      <c r="B75" s="6" t="n"/>
      <c r="C75" s="6" t="n"/>
      <c r="D75" s="7" t="n"/>
      <c r="E75" s="6" t="n"/>
      <c r="F75" s="6" t="n"/>
      <c r="G75" s="6" t="n"/>
      <c r="H75" s="6" t="n"/>
      <c r="I75" s="7" t="n"/>
      <c r="J75" s="8" t="n"/>
      <c r="K75" s="8" t="n"/>
      <c r="L75" s="8" t="n"/>
      <c r="M75" s="9">
        <f>IF(COUNTA(J75,K75,L75)=0,"",ROUND((J75/20)*20*0.5+(K75/20)*20*0.3+(L75/20)*20*0.2,1))</f>
        <v/>
      </c>
      <c r="N75" s="10">
        <f>IF(M75="","",IF(M75&gt;=14,"APROBADO","DESAPROBADO"))</f>
        <v/>
      </c>
      <c r="O75" s="7" t="n"/>
    </row>
    <row r="76">
      <c r="A76" s="6" t="n">
        <v>70</v>
      </c>
      <c r="B76" s="6" t="n"/>
      <c r="C76" s="6" t="n"/>
      <c r="D76" s="7" t="n"/>
      <c r="E76" s="6" t="n"/>
      <c r="F76" s="6" t="n"/>
      <c r="G76" s="6" t="n"/>
      <c r="H76" s="6" t="n"/>
      <c r="I76" s="7" t="n"/>
      <c r="J76" s="8" t="n"/>
      <c r="K76" s="8" t="n"/>
      <c r="L76" s="8" t="n"/>
      <c r="M76" s="9">
        <f>IF(COUNTA(J76,K76,L76)=0,"",ROUND((J76/20)*20*0.5+(K76/20)*20*0.3+(L76/20)*20*0.2,1))</f>
        <v/>
      </c>
      <c r="N76" s="10">
        <f>IF(M76="","",IF(M76&gt;=14,"APROBADO","DESAPROBADO"))</f>
        <v/>
      </c>
      <c r="O76" s="7" t="n"/>
    </row>
    <row r="77">
      <c r="A77" s="6" t="n">
        <v>71</v>
      </c>
      <c r="B77" s="6" t="n"/>
      <c r="C77" s="6" t="n"/>
      <c r="D77" s="7" t="n"/>
      <c r="E77" s="6" t="n"/>
      <c r="F77" s="6" t="n"/>
      <c r="G77" s="6" t="n"/>
      <c r="H77" s="6" t="n"/>
      <c r="I77" s="7" t="n"/>
      <c r="J77" s="8" t="n"/>
      <c r="K77" s="8" t="n"/>
      <c r="L77" s="8" t="n"/>
      <c r="M77" s="9">
        <f>IF(COUNTA(J77,K77,L77)=0,"",ROUND((J77/20)*20*0.5+(K77/20)*20*0.3+(L77/20)*20*0.2,1))</f>
        <v/>
      </c>
      <c r="N77" s="10">
        <f>IF(M77="","",IF(M77&gt;=14,"APROBADO","DESAPROBADO"))</f>
        <v/>
      </c>
      <c r="O77" s="7" t="n"/>
    </row>
    <row r="78">
      <c r="A78" s="6" t="n">
        <v>72</v>
      </c>
      <c r="B78" s="6" t="n"/>
      <c r="C78" s="6" t="n"/>
      <c r="D78" s="7" t="n"/>
      <c r="E78" s="6" t="n"/>
      <c r="F78" s="6" t="n"/>
      <c r="G78" s="6" t="n"/>
      <c r="H78" s="6" t="n"/>
      <c r="I78" s="7" t="n"/>
      <c r="J78" s="8" t="n"/>
      <c r="K78" s="8" t="n"/>
      <c r="L78" s="8" t="n"/>
      <c r="M78" s="9">
        <f>IF(COUNTA(J78,K78,L78)=0,"",ROUND((J78/20)*20*0.5+(K78/20)*20*0.3+(L78/20)*20*0.2,1))</f>
        <v/>
      </c>
      <c r="N78" s="10">
        <f>IF(M78="","",IF(M78&gt;=14,"APROBADO","DESAPROBADO"))</f>
        <v/>
      </c>
      <c r="O78" s="7" t="n"/>
    </row>
    <row r="79">
      <c r="A79" s="6" t="n">
        <v>73</v>
      </c>
      <c r="B79" s="6" t="n"/>
      <c r="C79" s="6" t="n"/>
      <c r="D79" s="7" t="n"/>
      <c r="E79" s="6" t="n"/>
      <c r="F79" s="6" t="n"/>
      <c r="G79" s="6" t="n"/>
      <c r="H79" s="6" t="n"/>
      <c r="I79" s="7" t="n"/>
      <c r="J79" s="8" t="n"/>
      <c r="K79" s="8" t="n"/>
      <c r="L79" s="8" t="n"/>
      <c r="M79" s="9">
        <f>IF(COUNTA(J79,K79,L79)=0,"",ROUND((J79/20)*20*0.5+(K79/20)*20*0.3+(L79/20)*20*0.2,1))</f>
        <v/>
      </c>
      <c r="N79" s="10">
        <f>IF(M79="","",IF(M79&gt;=14,"APROBADO","DESAPROBADO"))</f>
        <v/>
      </c>
      <c r="O79" s="7" t="n"/>
    </row>
    <row r="80">
      <c r="A80" s="6" t="n">
        <v>74</v>
      </c>
      <c r="B80" s="6" t="n"/>
      <c r="C80" s="6" t="n"/>
      <c r="D80" s="7" t="n"/>
      <c r="E80" s="6" t="n"/>
      <c r="F80" s="6" t="n"/>
      <c r="G80" s="6" t="n"/>
      <c r="H80" s="6" t="n"/>
      <c r="I80" s="7" t="n"/>
      <c r="J80" s="8" t="n"/>
      <c r="K80" s="8" t="n"/>
      <c r="L80" s="8" t="n"/>
      <c r="M80" s="9">
        <f>IF(COUNTA(J80,K80,L80)=0,"",ROUND((J80/20)*20*0.5+(K80/20)*20*0.3+(L80/20)*20*0.2,1))</f>
        <v/>
      </c>
      <c r="N80" s="10">
        <f>IF(M80="","",IF(M80&gt;=14,"APROBADO","DESAPROBADO"))</f>
        <v/>
      </c>
      <c r="O80" s="7" t="n"/>
    </row>
    <row r="81">
      <c r="A81" s="6" t="n">
        <v>75</v>
      </c>
      <c r="B81" s="6" t="n"/>
      <c r="C81" s="6" t="n"/>
      <c r="D81" s="7" t="n"/>
      <c r="E81" s="6" t="n"/>
      <c r="F81" s="6" t="n"/>
      <c r="G81" s="6" t="n"/>
      <c r="H81" s="6" t="n"/>
      <c r="I81" s="7" t="n"/>
      <c r="J81" s="8" t="n"/>
      <c r="K81" s="8" t="n"/>
      <c r="L81" s="8" t="n"/>
      <c r="M81" s="9">
        <f>IF(COUNTA(J81,K81,L81)=0,"",ROUND((J81/20)*20*0.5+(K81/20)*20*0.3+(L81/20)*20*0.2,1))</f>
        <v/>
      </c>
      <c r="N81" s="10">
        <f>IF(M81="","",IF(M81&gt;=14,"APROBADO","DESAPROBADO"))</f>
        <v/>
      </c>
      <c r="O81" s="7" t="n"/>
    </row>
    <row r="82">
      <c r="A82" s="6" t="n">
        <v>76</v>
      </c>
      <c r="B82" s="6" t="n"/>
      <c r="C82" s="6" t="n"/>
      <c r="D82" s="7" t="n"/>
      <c r="E82" s="6" t="n"/>
      <c r="F82" s="6" t="n"/>
      <c r="G82" s="6" t="n"/>
      <c r="H82" s="6" t="n"/>
      <c r="I82" s="7" t="n"/>
      <c r="J82" s="8" t="n"/>
      <c r="K82" s="8" t="n"/>
      <c r="L82" s="8" t="n"/>
      <c r="M82" s="9">
        <f>IF(COUNTA(J82,K82,L82)=0,"",ROUND((J82/20)*20*0.5+(K82/20)*20*0.3+(L82/20)*20*0.2,1))</f>
        <v/>
      </c>
      <c r="N82" s="10">
        <f>IF(M82="","",IF(M82&gt;=14,"APROBADO","DESAPROBADO"))</f>
        <v/>
      </c>
      <c r="O82" s="7" t="n"/>
    </row>
    <row r="83">
      <c r="A83" s="6" t="n">
        <v>77</v>
      </c>
      <c r="B83" s="6" t="n"/>
      <c r="C83" s="6" t="n"/>
      <c r="D83" s="7" t="n"/>
      <c r="E83" s="6" t="n"/>
      <c r="F83" s="6" t="n"/>
      <c r="G83" s="6" t="n"/>
      <c r="H83" s="6" t="n"/>
      <c r="I83" s="7" t="n"/>
      <c r="J83" s="8" t="n"/>
      <c r="K83" s="8" t="n"/>
      <c r="L83" s="8" t="n"/>
      <c r="M83" s="9">
        <f>IF(COUNTA(J83,K83,L83)=0,"",ROUND((J83/20)*20*0.5+(K83/20)*20*0.3+(L83/20)*20*0.2,1))</f>
        <v/>
      </c>
      <c r="N83" s="10">
        <f>IF(M83="","",IF(M83&gt;=14,"APROBADO","DESAPROBADO"))</f>
        <v/>
      </c>
      <c r="O83" s="7" t="n"/>
    </row>
    <row r="84">
      <c r="A84" s="6" t="n">
        <v>78</v>
      </c>
      <c r="B84" s="6" t="n"/>
      <c r="C84" s="6" t="n"/>
      <c r="D84" s="7" t="n"/>
      <c r="E84" s="6" t="n"/>
      <c r="F84" s="6" t="n"/>
      <c r="G84" s="6" t="n"/>
      <c r="H84" s="6" t="n"/>
      <c r="I84" s="7" t="n"/>
      <c r="J84" s="8" t="n"/>
      <c r="K84" s="8" t="n"/>
      <c r="L84" s="8" t="n"/>
      <c r="M84" s="9">
        <f>IF(COUNTA(J84,K84,L84)=0,"",ROUND((J84/20)*20*0.5+(K84/20)*20*0.3+(L84/20)*20*0.2,1))</f>
        <v/>
      </c>
      <c r="N84" s="10">
        <f>IF(M84="","",IF(M84&gt;=14,"APROBADO","DESAPROBADO"))</f>
        <v/>
      </c>
      <c r="O84" s="7" t="n"/>
    </row>
    <row r="85">
      <c r="A85" s="6" t="n">
        <v>79</v>
      </c>
      <c r="B85" s="6" t="n"/>
      <c r="C85" s="6" t="n"/>
      <c r="D85" s="7" t="n"/>
      <c r="E85" s="6" t="n"/>
      <c r="F85" s="6" t="n"/>
      <c r="G85" s="6" t="n"/>
      <c r="H85" s="6" t="n"/>
      <c r="I85" s="7" t="n"/>
      <c r="J85" s="8" t="n"/>
      <c r="K85" s="8" t="n"/>
      <c r="L85" s="8" t="n"/>
      <c r="M85" s="9">
        <f>IF(COUNTA(J85,K85,L85)=0,"",ROUND((J85/20)*20*0.5+(K85/20)*20*0.3+(L85/20)*20*0.2,1))</f>
        <v/>
      </c>
      <c r="N85" s="10">
        <f>IF(M85="","",IF(M85&gt;=14,"APROBADO","DESAPROBADO"))</f>
        <v/>
      </c>
      <c r="O85" s="7" t="n"/>
    </row>
    <row r="86">
      <c r="A86" s="6" t="n">
        <v>80</v>
      </c>
      <c r="B86" s="6" t="n"/>
      <c r="C86" s="6" t="n"/>
      <c r="D86" s="7" t="n"/>
      <c r="E86" s="6" t="n"/>
      <c r="F86" s="6" t="n"/>
      <c r="G86" s="6" t="n"/>
      <c r="H86" s="6" t="n"/>
      <c r="I86" s="7" t="n"/>
      <c r="J86" s="8" t="n"/>
      <c r="K86" s="8" t="n"/>
      <c r="L86" s="8" t="n"/>
      <c r="M86" s="9">
        <f>IF(COUNTA(J86,K86,L86)=0,"",ROUND((J86/20)*20*0.5+(K86/20)*20*0.3+(L86/20)*20*0.2,1))</f>
        <v/>
      </c>
      <c r="N86" s="10">
        <f>IF(M86="","",IF(M86&gt;=14,"APROBADO","DESAPROBADO"))</f>
        <v/>
      </c>
      <c r="O86" s="7" t="n"/>
    </row>
    <row r="87">
      <c r="A87" s="6" t="n">
        <v>81</v>
      </c>
      <c r="B87" s="6" t="n"/>
      <c r="C87" s="6" t="n"/>
      <c r="D87" s="7" t="n"/>
      <c r="E87" s="6" t="n"/>
      <c r="F87" s="6" t="n"/>
      <c r="G87" s="6" t="n"/>
      <c r="H87" s="6" t="n"/>
      <c r="I87" s="7" t="n"/>
      <c r="J87" s="8" t="n"/>
      <c r="K87" s="8" t="n"/>
      <c r="L87" s="8" t="n"/>
      <c r="M87" s="9">
        <f>IF(COUNTA(J87,K87,L87)=0,"",ROUND((J87/20)*20*0.5+(K87/20)*20*0.3+(L87/20)*20*0.2,1))</f>
        <v/>
      </c>
      <c r="N87" s="10">
        <f>IF(M87="","",IF(M87&gt;=14,"APROBADO","DESAPROBADO"))</f>
        <v/>
      </c>
      <c r="O87" s="7" t="n"/>
    </row>
    <row r="88">
      <c r="A88" s="6" t="n">
        <v>82</v>
      </c>
      <c r="B88" s="6" t="n"/>
      <c r="C88" s="6" t="n"/>
      <c r="D88" s="7" t="n"/>
      <c r="E88" s="6" t="n"/>
      <c r="F88" s="6" t="n"/>
      <c r="G88" s="6" t="n"/>
      <c r="H88" s="6" t="n"/>
      <c r="I88" s="7" t="n"/>
      <c r="J88" s="8" t="n"/>
      <c r="K88" s="8" t="n"/>
      <c r="L88" s="8" t="n"/>
      <c r="M88" s="9">
        <f>IF(COUNTA(J88,K88,L88)=0,"",ROUND((J88/20)*20*0.5+(K88/20)*20*0.3+(L88/20)*20*0.2,1))</f>
        <v/>
      </c>
      <c r="N88" s="10">
        <f>IF(M88="","",IF(M88&gt;=14,"APROBADO","DESAPROBADO"))</f>
        <v/>
      </c>
      <c r="O88" s="7" t="n"/>
    </row>
    <row r="89">
      <c r="A89" s="6" t="n">
        <v>83</v>
      </c>
      <c r="B89" s="6" t="n"/>
      <c r="C89" s="6" t="n"/>
      <c r="D89" s="7" t="n"/>
      <c r="E89" s="6" t="n"/>
      <c r="F89" s="6" t="n"/>
      <c r="G89" s="6" t="n"/>
      <c r="H89" s="6" t="n"/>
      <c r="I89" s="7" t="n"/>
      <c r="J89" s="8" t="n"/>
      <c r="K89" s="8" t="n"/>
      <c r="L89" s="8" t="n"/>
      <c r="M89" s="9">
        <f>IF(COUNTA(J89,K89,L89)=0,"",ROUND((J89/20)*20*0.5+(K89/20)*20*0.3+(L89/20)*20*0.2,1))</f>
        <v/>
      </c>
      <c r="N89" s="10">
        <f>IF(M89="","",IF(M89&gt;=14,"APROBADO","DESAPROBADO"))</f>
        <v/>
      </c>
      <c r="O89" s="7" t="n"/>
    </row>
    <row r="90">
      <c r="A90" s="6" t="n">
        <v>84</v>
      </c>
      <c r="B90" s="6" t="n"/>
      <c r="C90" s="6" t="n"/>
      <c r="D90" s="7" t="n"/>
      <c r="E90" s="6" t="n"/>
      <c r="F90" s="6" t="n"/>
      <c r="G90" s="6" t="n"/>
      <c r="H90" s="6" t="n"/>
      <c r="I90" s="7" t="n"/>
      <c r="J90" s="8" t="n"/>
      <c r="K90" s="8" t="n"/>
      <c r="L90" s="8" t="n"/>
      <c r="M90" s="9">
        <f>IF(COUNTA(J90,K90,L90)=0,"",ROUND((J90/20)*20*0.5+(K90/20)*20*0.3+(L90/20)*20*0.2,1))</f>
        <v/>
      </c>
      <c r="N90" s="10">
        <f>IF(M90="","",IF(M90&gt;=14,"APROBADO","DESAPROBADO"))</f>
        <v/>
      </c>
      <c r="O90" s="7" t="n"/>
    </row>
    <row r="91">
      <c r="A91" s="6" t="n">
        <v>85</v>
      </c>
      <c r="B91" s="6" t="n"/>
      <c r="C91" s="6" t="n"/>
      <c r="D91" s="7" t="n"/>
      <c r="E91" s="6" t="n"/>
      <c r="F91" s="6" t="n"/>
      <c r="G91" s="6" t="n"/>
      <c r="H91" s="6" t="n"/>
      <c r="I91" s="7" t="n"/>
      <c r="J91" s="8" t="n"/>
      <c r="K91" s="8" t="n"/>
      <c r="L91" s="8" t="n"/>
      <c r="M91" s="9">
        <f>IF(COUNTA(J91,K91,L91)=0,"",ROUND((J91/20)*20*0.5+(K91/20)*20*0.3+(L91/20)*20*0.2,1))</f>
        <v/>
      </c>
      <c r="N91" s="10">
        <f>IF(M91="","",IF(M91&gt;=14,"APROBADO","DESAPROBADO"))</f>
        <v/>
      </c>
      <c r="O91" s="7" t="n"/>
    </row>
    <row r="92">
      <c r="A92" s="6" t="n">
        <v>86</v>
      </c>
      <c r="B92" s="6" t="n"/>
      <c r="C92" s="6" t="n"/>
      <c r="D92" s="7" t="n"/>
      <c r="E92" s="6" t="n"/>
      <c r="F92" s="6" t="n"/>
      <c r="G92" s="6" t="n"/>
      <c r="H92" s="6" t="n"/>
      <c r="I92" s="7" t="n"/>
      <c r="J92" s="8" t="n"/>
      <c r="K92" s="8" t="n"/>
      <c r="L92" s="8" t="n"/>
      <c r="M92" s="9">
        <f>IF(COUNTA(J92,K92,L92)=0,"",ROUND((J92/20)*20*0.5+(K92/20)*20*0.3+(L92/20)*20*0.2,1))</f>
        <v/>
      </c>
      <c r="N92" s="10">
        <f>IF(M92="","",IF(M92&gt;=14,"APROBADO","DESAPROBADO"))</f>
        <v/>
      </c>
      <c r="O92" s="7" t="n"/>
    </row>
    <row r="93">
      <c r="A93" s="6" t="n">
        <v>87</v>
      </c>
      <c r="B93" s="6" t="n"/>
      <c r="C93" s="6" t="n"/>
      <c r="D93" s="7" t="n"/>
      <c r="E93" s="6" t="n"/>
      <c r="F93" s="6" t="n"/>
      <c r="G93" s="6" t="n"/>
      <c r="H93" s="6" t="n"/>
      <c r="I93" s="7" t="n"/>
      <c r="J93" s="8" t="n"/>
      <c r="K93" s="8" t="n"/>
      <c r="L93" s="8" t="n"/>
      <c r="M93" s="9">
        <f>IF(COUNTA(J93,K93,L93)=0,"",ROUND((J93/20)*20*0.5+(K93/20)*20*0.3+(L93/20)*20*0.2,1))</f>
        <v/>
      </c>
      <c r="N93" s="10">
        <f>IF(M93="","",IF(M93&gt;=14,"APROBADO","DESAPROBADO"))</f>
        <v/>
      </c>
      <c r="O93" s="7" t="n"/>
    </row>
    <row r="94">
      <c r="A94" s="6" t="n">
        <v>88</v>
      </c>
      <c r="B94" s="6" t="n"/>
      <c r="C94" s="6" t="n"/>
      <c r="D94" s="7" t="n"/>
      <c r="E94" s="6" t="n"/>
      <c r="F94" s="6" t="n"/>
      <c r="G94" s="6" t="n"/>
      <c r="H94" s="6" t="n"/>
      <c r="I94" s="7" t="n"/>
      <c r="J94" s="8" t="n"/>
      <c r="K94" s="8" t="n"/>
      <c r="L94" s="8" t="n"/>
      <c r="M94" s="9">
        <f>IF(COUNTA(J94,K94,L94)=0,"",ROUND((J94/20)*20*0.5+(K94/20)*20*0.3+(L94/20)*20*0.2,1))</f>
        <v/>
      </c>
      <c r="N94" s="10">
        <f>IF(M94="","",IF(M94&gt;=14,"APROBADO","DESAPROBADO"))</f>
        <v/>
      </c>
      <c r="O94" s="7" t="n"/>
    </row>
    <row r="95">
      <c r="A95" s="6" t="n">
        <v>89</v>
      </c>
      <c r="B95" s="6" t="n"/>
      <c r="C95" s="6" t="n"/>
      <c r="D95" s="7" t="n"/>
      <c r="E95" s="6" t="n"/>
      <c r="F95" s="6" t="n"/>
      <c r="G95" s="6" t="n"/>
      <c r="H95" s="6" t="n"/>
      <c r="I95" s="7" t="n"/>
      <c r="J95" s="8" t="n"/>
      <c r="K95" s="8" t="n"/>
      <c r="L95" s="8" t="n"/>
      <c r="M95" s="9">
        <f>IF(COUNTA(J95,K95,L95)=0,"",ROUND((J95/20)*20*0.5+(K95/20)*20*0.3+(L95/20)*20*0.2,1))</f>
        <v/>
      </c>
      <c r="N95" s="10">
        <f>IF(M95="","",IF(M95&gt;=14,"APROBADO","DESAPROBADO"))</f>
        <v/>
      </c>
      <c r="O95" s="7" t="n"/>
    </row>
    <row r="96">
      <c r="A96" s="6" t="n">
        <v>90</v>
      </c>
      <c r="B96" s="6" t="n"/>
      <c r="C96" s="6" t="n"/>
      <c r="D96" s="7" t="n"/>
      <c r="E96" s="6" t="n"/>
      <c r="F96" s="6" t="n"/>
      <c r="G96" s="6" t="n"/>
      <c r="H96" s="6" t="n"/>
      <c r="I96" s="7" t="n"/>
      <c r="J96" s="8" t="n"/>
      <c r="K96" s="8" t="n"/>
      <c r="L96" s="8" t="n"/>
      <c r="M96" s="9">
        <f>IF(COUNTA(J96,K96,L96)=0,"",ROUND((J96/20)*20*0.5+(K96/20)*20*0.3+(L96/20)*20*0.2,1))</f>
        <v/>
      </c>
      <c r="N96" s="10">
        <f>IF(M96="","",IF(M96&gt;=14,"APROBADO","DESAPROBADO"))</f>
        <v/>
      </c>
      <c r="O96" s="7" t="n"/>
    </row>
    <row r="97">
      <c r="A97" s="6" t="n">
        <v>91</v>
      </c>
      <c r="B97" s="6" t="n"/>
      <c r="C97" s="6" t="n"/>
      <c r="D97" s="7" t="n"/>
      <c r="E97" s="6" t="n"/>
      <c r="F97" s="6" t="n"/>
      <c r="G97" s="6" t="n"/>
      <c r="H97" s="6" t="n"/>
      <c r="I97" s="7" t="n"/>
      <c r="J97" s="8" t="n"/>
      <c r="K97" s="8" t="n"/>
      <c r="L97" s="8" t="n"/>
      <c r="M97" s="9">
        <f>IF(COUNTA(J97,K97,L97)=0,"",ROUND((J97/20)*20*0.5+(K97/20)*20*0.3+(L97/20)*20*0.2,1))</f>
        <v/>
      </c>
      <c r="N97" s="10">
        <f>IF(M97="","",IF(M97&gt;=14,"APROBADO","DESAPROBADO"))</f>
        <v/>
      </c>
      <c r="O97" s="7" t="n"/>
    </row>
    <row r="98">
      <c r="A98" s="6" t="n">
        <v>92</v>
      </c>
      <c r="B98" s="6" t="n"/>
      <c r="C98" s="6" t="n"/>
      <c r="D98" s="7" t="n"/>
      <c r="E98" s="6" t="n"/>
      <c r="F98" s="6" t="n"/>
      <c r="G98" s="6" t="n"/>
      <c r="H98" s="6" t="n"/>
      <c r="I98" s="7" t="n"/>
      <c r="J98" s="8" t="n"/>
      <c r="K98" s="8" t="n"/>
      <c r="L98" s="8" t="n"/>
      <c r="M98" s="9">
        <f>IF(COUNTA(J98,K98,L98)=0,"",ROUND((J98/20)*20*0.5+(K98/20)*20*0.3+(L98/20)*20*0.2,1))</f>
        <v/>
      </c>
      <c r="N98" s="10">
        <f>IF(M98="","",IF(M98&gt;=14,"APROBADO","DESAPROBADO"))</f>
        <v/>
      </c>
      <c r="O98" s="7" t="n"/>
    </row>
    <row r="99">
      <c r="A99" s="6" t="n">
        <v>93</v>
      </c>
      <c r="B99" s="6" t="n"/>
      <c r="C99" s="6" t="n"/>
      <c r="D99" s="7" t="n"/>
      <c r="E99" s="6" t="n"/>
      <c r="F99" s="6" t="n"/>
      <c r="G99" s="6" t="n"/>
      <c r="H99" s="6" t="n"/>
      <c r="I99" s="7" t="n"/>
      <c r="J99" s="8" t="n"/>
      <c r="K99" s="8" t="n"/>
      <c r="L99" s="8" t="n"/>
      <c r="M99" s="9">
        <f>IF(COUNTA(J99,K99,L99)=0,"",ROUND((J99/20)*20*0.5+(K99/20)*20*0.3+(L99/20)*20*0.2,1))</f>
        <v/>
      </c>
      <c r="N99" s="10">
        <f>IF(M99="","",IF(M99&gt;=14,"APROBADO","DESAPROBADO"))</f>
        <v/>
      </c>
      <c r="O99" s="7" t="n"/>
    </row>
    <row r="100">
      <c r="A100" s="6" t="n">
        <v>94</v>
      </c>
      <c r="B100" s="6" t="n"/>
      <c r="C100" s="6" t="n"/>
      <c r="D100" s="7" t="n"/>
      <c r="E100" s="6" t="n"/>
      <c r="F100" s="6" t="n"/>
      <c r="G100" s="6" t="n"/>
      <c r="H100" s="6" t="n"/>
      <c r="I100" s="7" t="n"/>
      <c r="J100" s="8" t="n"/>
      <c r="K100" s="8" t="n"/>
      <c r="L100" s="8" t="n"/>
      <c r="M100" s="9">
        <f>IF(COUNTA(J100,K100,L100)=0,"",ROUND((J100/20)*20*0.5+(K100/20)*20*0.3+(L100/20)*20*0.2,1))</f>
        <v/>
      </c>
      <c r="N100" s="10">
        <f>IF(M100="","",IF(M100&gt;=14,"APROBADO","DESAPROBADO"))</f>
        <v/>
      </c>
      <c r="O100" s="7" t="n"/>
    </row>
    <row r="101">
      <c r="A101" s="6" t="n">
        <v>95</v>
      </c>
      <c r="B101" s="6" t="n"/>
      <c r="C101" s="6" t="n"/>
      <c r="D101" s="7" t="n"/>
      <c r="E101" s="6" t="n"/>
      <c r="F101" s="6" t="n"/>
      <c r="G101" s="6" t="n"/>
      <c r="H101" s="6" t="n"/>
      <c r="I101" s="7" t="n"/>
      <c r="J101" s="8" t="n"/>
      <c r="K101" s="8" t="n"/>
      <c r="L101" s="8" t="n"/>
      <c r="M101" s="9">
        <f>IF(COUNTA(J101,K101,L101)=0,"",ROUND((J101/20)*20*0.5+(K101/20)*20*0.3+(L101/20)*20*0.2,1))</f>
        <v/>
      </c>
      <c r="N101" s="10">
        <f>IF(M101="","",IF(M101&gt;=14,"APROBADO","DESAPROBADO"))</f>
        <v/>
      </c>
      <c r="O101" s="7" t="n"/>
    </row>
    <row r="102">
      <c r="A102" s="6" t="n">
        <v>96</v>
      </c>
      <c r="B102" s="6" t="n"/>
      <c r="C102" s="6" t="n"/>
      <c r="D102" s="7" t="n"/>
      <c r="E102" s="6" t="n"/>
      <c r="F102" s="6" t="n"/>
      <c r="G102" s="6" t="n"/>
      <c r="H102" s="6" t="n"/>
      <c r="I102" s="7" t="n"/>
      <c r="J102" s="8" t="n"/>
      <c r="K102" s="8" t="n"/>
      <c r="L102" s="8" t="n"/>
      <c r="M102" s="9">
        <f>IF(COUNTA(J102,K102,L102)=0,"",ROUND((J102/20)*20*0.5+(K102/20)*20*0.3+(L102/20)*20*0.2,1))</f>
        <v/>
      </c>
      <c r="N102" s="10">
        <f>IF(M102="","",IF(M102&gt;=14,"APROBADO","DESAPROBADO"))</f>
        <v/>
      </c>
      <c r="O102" s="7" t="n"/>
    </row>
    <row r="103">
      <c r="A103" s="6" t="n">
        <v>97</v>
      </c>
      <c r="B103" s="6" t="n"/>
      <c r="C103" s="6" t="n"/>
      <c r="D103" s="7" t="n"/>
      <c r="E103" s="6" t="n"/>
      <c r="F103" s="6" t="n"/>
      <c r="G103" s="6" t="n"/>
      <c r="H103" s="6" t="n"/>
      <c r="I103" s="7" t="n"/>
      <c r="J103" s="8" t="n"/>
      <c r="K103" s="8" t="n"/>
      <c r="L103" s="8" t="n"/>
      <c r="M103" s="9">
        <f>IF(COUNTA(J103,K103,L103)=0,"",ROUND((J103/20)*20*0.5+(K103/20)*20*0.3+(L103/20)*20*0.2,1))</f>
        <v/>
      </c>
      <c r="N103" s="10">
        <f>IF(M103="","",IF(M103&gt;=14,"APROBADO","DESAPROBADO"))</f>
        <v/>
      </c>
      <c r="O103" s="7" t="n"/>
    </row>
    <row r="104">
      <c r="A104" s="6" t="n">
        <v>98</v>
      </c>
      <c r="B104" s="6" t="n"/>
      <c r="C104" s="6" t="n"/>
      <c r="D104" s="7" t="n"/>
      <c r="E104" s="6" t="n"/>
      <c r="F104" s="6" t="n"/>
      <c r="G104" s="6" t="n"/>
      <c r="H104" s="6" t="n"/>
      <c r="I104" s="7" t="n"/>
      <c r="J104" s="8" t="n"/>
      <c r="K104" s="8" t="n"/>
      <c r="L104" s="8" t="n"/>
      <c r="M104" s="9">
        <f>IF(COUNTA(J104,K104,L104)=0,"",ROUND((J104/20)*20*0.5+(K104/20)*20*0.3+(L104/20)*20*0.2,1))</f>
        <v/>
      </c>
      <c r="N104" s="10">
        <f>IF(M104="","",IF(M104&gt;=14,"APROBADO","DESAPROBADO"))</f>
        <v/>
      </c>
      <c r="O104" s="7" t="n"/>
    </row>
    <row r="105">
      <c r="A105" s="6" t="n">
        <v>99</v>
      </c>
      <c r="B105" s="6" t="n"/>
      <c r="C105" s="6" t="n"/>
      <c r="D105" s="7" t="n"/>
      <c r="E105" s="6" t="n"/>
      <c r="F105" s="6" t="n"/>
      <c r="G105" s="6" t="n"/>
      <c r="H105" s="6" t="n"/>
      <c r="I105" s="7" t="n"/>
      <c r="J105" s="8" t="n"/>
      <c r="K105" s="8" t="n"/>
      <c r="L105" s="8" t="n"/>
      <c r="M105" s="9">
        <f>IF(COUNTA(J105,K105,L105)=0,"",ROUND((J105/20)*20*0.5+(K105/20)*20*0.3+(L105/20)*20*0.2,1))</f>
        <v/>
      </c>
      <c r="N105" s="10">
        <f>IF(M105="","",IF(M105&gt;=14,"APROBADO","DESAPROBADO"))</f>
        <v/>
      </c>
      <c r="O105" s="7" t="n"/>
    </row>
    <row r="106">
      <c r="A106" s="6" t="n">
        <v>100</v>
      </c>
      <c r="B106" s="6" t="n"/>
      <c r="C106" s="6" t="n"/>
      <c r="D106" s="7" t="n"/>
      <c r="E106" s="6" t="n"/>
      <c r="F106" s="6" t="n"/>
      <c r="G106" s="6" t="n"/>
      <c r="H106" s="6" t="n"/>
      <c r="I106" s="7" t="n"/>
      <c r="J106" s="8" t="n"/>
      <c r="K106" s="8" t="n"/>
      <c r="L106" s="8" t="n"/>
      <c r="M106" s="9">
        <f>IF(COUNTA(J106,K106,L106)=0,"",ROUND((J106/20)*20*0.5+(K106/20)*20*0.3+(L106/20)*20*0.2,1))</f>
        <v/>
      </c>
      <c r="N106" s="10">
        <f>IF(M106="","",IF(M106&gt;=14,"APROBADO","DESAPROBADO"))</f>
        <v/>
      </c>
      <c r="O106" s="7" t="n"/>
    </row>
    <row r="107">
      <c r="A107" s="6" t="n">
        <v>101</v>
      </c>
      <c r="B107" s="6" t="n"/>
      <c r="C107" s="6" t="n"/>
      <c r="D107" s="7" t="n"/>
      <c r="E107" s="6" t="n"/>
      <c r="F107" s="6" t="n"/>
      <c r="G107" s="6" t="n"/>
      <c r="H107" s="6" t="n"/>
      <c r="I107" s="7" t="n"/>
      <c r="J107" s="8" t="n"/>
      <c r="K107" s="8" t="n"/>
      <c r="L107" s="8" t="n"/>
      <c r="M107" s="9">
        <f>IF(COUNTA(J107,K107,L107)=0,"",ROUND((J107/20)*20*0.5+(K107/20)*20*0.3+(L107/20)*20*0.2,1))</f>
        <v/>
      </c>
      <c r="N107" s="10">
        <f>IF(M107="","",IF(M107&gt;=14,"APROBADO","DESAPROBADO"))</f>
        <v/>
      </c>
      <c r="O107" s="7" t="n"/>
    </row>
    <row r="108">
      <c r="A108" s="6" t="n">
        <v>102</v>
      </c>
      <c r="B108" s="6" t="n"/>
      <c r="C108" s="6" t="n"/>
      <c r="D108" s="7" t="n"/>
      <c r="E108" s="6" t="n"/>
      <c r="F108" s="6" t="n"/>
      <c r="G108" s="6" t="n"/>
      <c r="H108" s="6" t="n"/>
      <c r="I108" s="7" t="n"/>
      <c r="J108" s="8" t="n"/>
      <c r="K108" s="8" t="n"/>
      <c r="L108" s="8" t="n"/>
      <c r="M108" s="9">
        <f>IF(COUNTA(J108,K108,L108)=0,"",ROUND((J108/20)*20*0.5+(K108/20)*20*0.3+(L108/20)*20*0.2,1))</f>
        <v/>
      </c>
      <c r="N108" s="10">
        <f>IF(M108="","",IF(M108&gt;=14,"APROBADO","DESAPROBADO"))</f>
        <v/>
      </c>
      <c r="O108" s="7" t="n"/>
    </row>
    <row r="109">
      <c r="A109" s="6" t="n">
        <v>103</v>
      </c>
      <c r="B109" s="6" t="n"/>
      <c r="C109" s="6" t="n"/>
      <c r="D109" s="7" t="n"/>
      <c r="E109" s="6" t="n"/>
      <c r="F109" s="6" t="n"/>
      <c r="G109" s="6" t="n"/>
      <c r="H109" s="6" t="n"/>
      <c r="I109" s="7" t="n"/>
      <c r="J109" s="8" t="n"/>
      <c r="K109" s="8" t="n"/>
      <c r="L109" s="8" t="n"/>
      <c r="M109" s="9">
        <f>IF(COUNTA(J109,K109,L109)=0,"",ROUND((J109/20)*20*0.5+(K109/20)*20*0.3+(L109/20)*20*0.2,1))</f>
        <v/>
      </c>
      <c r="N109" s="10">
        <f>IF(M109="","",IF(M109&gt;=14,"APROBADO","DESAPROBADO"))</f>
        <v/>
      </c>
      <c r="O109" s="7" t="n"/>
    </row>
    <row r="110">
      <c r="A110" s="6" t="n">
        <v>104</v>
      </c>
      <c r="B110" s="6" t="n"/>
      <c r="C110" s="6" t="n"/>
      <c r="D110" s="7" t="n"/>
      <c r="E110" s="6" t="n"/>
      <c r="F110" s="6" t="n"/>
      <c r="G110" s="6" t="n"/>
      <c r="H110" s="6" t="n"/>
      <c r="I110" s="7" t="n"/>
      <c r="J110" s="8" t="n"/>
      <c r="K110" s="8" t="n"/>
      <c r="L110" s="8" t="n"/>
      <c r="M110" s="9">
        <f>IF(COUNTA(J110,K110,L110)=0,"",ROUND((J110/20)*20*0.5+(K110/20)*20*0.3+(L110/20)*20*0.2,1))</f>
        <v/>
      </c>
      <c r="N110" s="10">
        <f>IF(M110="","",IF(M110&gt;=14,"APROBADO","DESAPROBADO"))</f>
        <v/>
      </c>
      <c r="O110" s="7" t="n"/>
    </row>
    <row r="111">
      <c r="A111" s="6" t="n">
        <v>105</v>
      </c>
      <c r="B111" s="6" t="n"/>
      <c r="C111" s="6" t="n"/>
      <c r="D111" s="7" t="n"/>
      <c r="E111" s="6" t="n"/>
      <c r="F111" s="6" t="n"/>
      <c r="G111" s="6" t="n"/>
      <c r="H111" s="6" t="n"/>
      <c r="I111" s="7" t="n"/>
      <c r="J111" s="8" t="n"/>
      <c r="K111" s="8" t="n"/>
      <c r="L111" s="8" t="n"/>
      <c r="M111" s="9">
        <f>IF(COUNTA(J111,K111,L111)=0,"",ROUND((J111/20)*20*0.5+(K111/20)*20*0.3+(L111/20)*20*0.2,1))</f>
        <v/>
      </c>
      <c r="N111" s="10">
        <f>IF(M111="","",IF(M111&gt;=14,"APROBADO","DESAPROBADO"))</f>
        <v/>
      </c>
      <c r="O111" s="7" t="n"/>
    </row>
    <row r="112">
      <c r="A112" s="6" t="n">
        <v>106</v>
      </c>
      <c r="B112" s="6" t="n"/>
      <c r="C112" s="6" t="n"/>
      <c r="D112" s="7" t="n"/>
      <c r="E112" s="6" t="n"/>
      <c r="F112" s="6" t="n"/>
      <c r="G112" s="6" t="n"/>
      <c r="H112" s="6" t="n"/>
      <c r="I112" s="7" t="n"/>
      <c r="J112" s="8" t="n"/>
      <c r="K112" s="8" t="n"/>
      <c r="L112" s="8" t="n"/>
      <c r="M112" s="9">
        <f>IF(COUNTA(J112,K112,L112)=0,"",ROUND((J112/20)*20*0.5+(K112/20)*20*0.3+(L112/20)*20*0.2,1))</f>
        <v/>
      </c>
      <c r="N112" s="10">
        <f>IF(M112="","",IF(M112&gt;=14,"APROBADO","DESAPROBADO"))</f>
        <v/>
      </c>
      <c r="O112" s="7" t="n"/>
    </row>
    <row r="113">
      <c r="A113" s="6" t="n">
        <v>107</v>
      </c>
      <c r="B113" s="6" t="n"/>
      <c r="C113" s="6" t="n"/>
      <c r="D113" s="7" t="n"/>
      <c r="E113" s="6" t="n"/>
      <c r="F113" s="6" t="n"/>
      <c r="G113" s="6" t="n"/>
      <c r="H113" s="6" t="n"/>
      <c r="I113" s="7" t="n"/>
      <c r="J113" s="8" t="n"/>
      <c r="K113" s="8" t="n"/>
      <c r="L113" s="8" t="n"/>
      <c r="M113" s="9">
        <f>IF(COUNTA(J113,K113,L113)=0,"",ROUND((J113/20)*20*0.5+(K113/20)*20*0.3+(L113/20)*20*0.2,1))</f>
        <v/>
      </c>
      <c r="N113" s="10">
        <f>IF(M113="","",IF(M113&gt;=14,"APROBADO","DESAPROBADO"))</f>
        <v/>
      </c>
      <c r="O113" s="7" t="n"/>
    </row>
    <row r="114">
      <c r="A114" s="6" t="n">
        <v>108</v>
      </c>
      <c r="B114" s="6" t="n"/>
      <c r="C114" s="6" t="n"/>
      <c r="D114" s="7" t="n"/>
      <c r="E114" s="6" t="n"/>
      <c r="F114" s="6" t="n"/>
      <c r="G114" s="6" t="n"/>
      <c r="H114" s="6" t="n"/>
      <c r="I114" s="7" t="n"/>
      <c r="J114" s="8" t="n"/>
      <c r="K114" s="8" t="n"/>
      <c r="L114" s="8" t="n"/>
      <c r="M114" s="9">
        <f>IF(COUNTA(J114,K114,L114)=0,"",ROUND((J114/20)*20*0.5+(K114/20)*20*0.3+(L114/20)*20*0.2,1))</f>
        <v/>
      </c>
      <c r="N114" s="10">
        <f>IF(M114="","",IF(M114&gt;=14,"APROBADO","DESAPROBADO"))</f>
        <v/>
      </c>
      <c r="O114" s="7" t="n"/>
    </row>
    <row r="115">
      <c r="A115" s="6" t="n">
        <v>109</v>
      </c>
      <c r="B115" s="6" t="n"/>
      <c r="C115" s="6" t="n"/>
      <c r="D115" s="7" t="n"/>
      <c r="E115" s="6" t="n"/>
      <c r="F115" s="6" t="n"/>
      <c r="G115" s="6" t="n"/>
      <c r="H115" s="6" t="n"/>
      <c r="I115" s="7" t="n"/>
      <c r="J115" s="8" t="n"/>
      <c r="K115" s="8" t="n"/>
      <c r="L115" s="8" t="n"/>
      <c r="M115" s="9">
        <f>IF(COUNTA(J115,K115,L115)=0,"",ROUND((J115/20)*20*0.5+(K115/20)*20*0.3+(L115/20)*20*0.2,1))</f>
        <v/>
      </c>
      <c r="N115" s="10">
        <f>IF(M115="","",IF(M115&gt;=14,"APROBADO","DESAPROBADO"))</f>
        <v/>
      </c>
      <c r="O115" s="7" t="n"/>
    </row>
    <row r="116">
      <c r="A116" s="6" t="n">
        <v>110</v>
      </c>
      <c r="B116" s="6" t="n"/>
      <c r="C116" s="6" t="n"/>
      <c r="D116" s="7" t="n"/>
      <c r="E116" s="6" t="n"/>
      <c r="F116" s="6" t="n"/>
      <c r="G116" s="6" t="n"/>
      <c r="H116" s="6" t="n"/>
      <c r="I116" s="7" t="n"/>
      <c r="J116" s="8" t="n"/>
      <c r="K116" s="8" t="n"/>
      <c r="L116" s="8" t="n"/>
      <c r="M116" s="9">
        <f>IF(COUNTA(J116,K116,L116)=0,"",ROUND((J116/20)*20*0.5+(K116/20)*20*0.3+(L116/20)*20*0.2,1))</f>
        <v/>
      </c>
      <c r="N116" s="10">
        <f>IF(M116="","",IF(M116&gt;=14,"APROBADO","DESAPROBADO"))</f>
        <v/>
      </c>
      <c r="O116" s="7" t="n"/>
    </row>
    <row r="117">
      <c r="A117" s="6" t="n">
        <v>111</v>
      </c>
      <c r="B117" s="6" t="n"/>
      <c r="C117" s="6" t="n"/>
      <c r="D117" s="7" t="n"/>
      <c r="E117" s="6" t="n"/>
      <c r="F117" s="6" t="n"/>
      <c r="G117" s="6" t="n"/>
      <c r="H117" s="6" t="n"/>
      <c r="I117" s="7" t="n"/>
      <c r="J117" s="8" t="n"/>
      <c r="K117" s="8" t="n"/>
      <c r="L117" s="8" t="n"/>
      <c r="M117" s="9">
        <f>IF(COUNTA(J117,K117,L117)=0,"",ROUND((J117/20)*20*0.5+(K117/20)*20*0.3+(L117/20)*20*0.2,1))</f>
        <v/>
      </c>
      <c r="N117" s="10">
        <f>IF(M117="","",IF(M117&gt;=14,"APROBADO","DESAPROBADO"))</f>
        <v/>
      </c>
      <c r="O117" s="7" t="n"/>
    </row>
    <row r="118">
      <c r="A118" s="6" t="n">
        <v>112</v>
      </c>
      <c r="B118" s="6" t="n"/>
      <c r="C118" s="6" t="n"/>
      <c r="D118" s="7" t="n"/>
      <c r="E118" s="6" t="n"/>
      <c r="F118" s="6" t="n"/>
      <c r="G118" s="6" t="n"/>
      <c r="H118" s="6" t="n"/>
      <c r="I118" s="7" t="n"/>
      <c r="J118" s="8" t="n"/>
      <c r="K118" s="8" t="n"/>
      <c r="L118" s="8" t="n"/>
      <c r="M118" s="9">
        <f>IF(COUNTA(J118,K118,L118)=0,"",ROUND((J118/20)*20*0.5+(K118/20)*20*0.3+(L118/20)*20*0.2,1))</f>
        <v/>
      </c>
      <c r="N118" s="10">
        <f>IF(M118="","",IF(M118&gt;=14,"APROBADO","DESAPROBADO"))</f>
        <v/>
      </c>
      <c r="O118" s="7" t="n"/>
    </row>
    <row r="119">
      <c r="A119" s="6" t="n">
        <v>113</v>
      </c>
      <c r="B119" s="6" t="n"/>
      <c r="C119" s="6" t="n"/>
      <c r="D119" s="7" t="n"/>
      <c r="E119" s="6" t="n"/>
      <c r="F119" s="6" t="n"/>
      <c r="G119" s="6" t="n"/>
      <c r="H119" s="6" t="n"/>
      <c r="I119" s="7" t="n"/>
      <c r="J119" s="8" t="n"/>
      <c r="K119" s="8" t="n"/>
      <c r="L119" s="8" t="n"/>
      <c r="M119" s="9">
        <f>IF(COUNTA(J119,K119,L119)=0,"",ROUND((J119/20)*20*0.5+(K119/20)*20*0.3+(L119/20)*20*0.2,1))</f>
        <v/>
      </c>
      <c r="N119" s="10">
        <f>IF(M119="","",IF(M119&gt;=14,"APROBADO","DESAPROBADO"))</f>
        <v/>
      </c>
      <c r="O119" s="7" t="n"/>
    </row>
    <row r="120">
      <c r="A120" s="6" t="n">
        <v>114</v>
      </c>
      <c r="B120" s="6" t="n"/>
      <c r="C120" s="6" t="n"/>
      <c r="D120" s="7" t="n"/>
      <c r="E120" s="6" t="n"/>
      <c r="F120" s="6" t="n"/>
      <c r="G120" s="6" t="n"/>
      <c r="H120" s="6" t="n"/>
      <c r="I120" s="7" t="n"/>
      <c r="J120" s="8" t="n"/>
      <c r="K120" s="8" t="n"/>
      <c r="L120" s="8" t="n"/>
      <c r="M120" s="9">
        <f>IF(COUNTA(J120,K120,L120)=0,"",ROUND((J120/20)*20*0.5+(K120/20)*20*0.3+(L120/20)*20*0.2,1))</f>
        <v/>
      </c>
      <c r="N120" s="10">
        <f>IF(M120="","",IF(M120&gt;=14,"APROBADO","DESAPROBADO"))</f>
        <v/>
      </c>
      <c r="O120" s="7" t="n"/>
    </row>
    <row r="121">
      <c r="A121" s="6" t="n">
        <v>115</v>
      </c>
      <c r="B121" s="6" t="n"/>
      <c r="C121" s="6" t="n"/>
      <c r="D121" s="7" t="n"/>
      <c r="E121" s="6" t="n"/>
      <c r="F121" s="6" t="n"/>
      <c r="G121" s="6" t="n"/>
      <c r="H121" s="6" t="n"/>
      <c r="I121" s="7" t="n"/>
      <c r="J121" s="8" t="n"/>
      <c r="K121" s="8" t="n"/>
      <c r="L121" s="8" t="n"/>
      <c r="M121" s="9">
        <f>IF(COUNTA(J121,K121,L121)=0,"",ROUND((J121/20)*20*0.5+(K121/20)*20*0.3+(L121/20)*20*0.2,1))</f>
        <v/>
      </c>
      <c r="N121" s="10">
        <f>IF(M121="","",IF(M121&gt;=14,"APROBADO","DESAPROBADO"))</f>
        <v/>
      </c>
      <c r="O121" s="7" t="n"/>
    </row>
    <row r="122">
      <c r="A122" s="6" t="n">
        <v>116</v>
      </c>
      <c r="B122" s="6" t="n"/>
      <c r="C122" s="6" t="n"/>
      <c r="D122" s="7" t="n"/>
      <c r="E122" s="6" t="n"/>
      <c r="F122" s="6" t="n"/>
      <c r="G122" s="6" t="n"/>
      <c r="H122" s="6" t="n"/>
      <c r="I122" s="7" t="n"/>
      <c r="J122" s="8" t="n"/>
      <c r="K122" s="8" t="n"/>
      <c r="L122" s="8" t="n"/>
      <c r="M122" s="9">
        <f>IF(COUNTA(J122,K122,L122)=0,"",ROUND((J122/20)*20*0.5+(K122/20)*20*0.3+(L122/20)*20*0.2,1))</f>
        <v/>
      </c>
      <c r="N122" s="10">
        <f>IF(M122="","",IF(M122&gt;=14,"APROBADO","DESAPROBADO"))</f>
        <v/>
      </c>
      <c r="O122" s="7" t="n"/>
    </row>
    <row r="123">
      <c r="A123" s="6" t="n">
        <v>117</v>
      </c>
      <c r="B123" s="6" t="n"/>
      <c r="C123" s="6" t="n"/>
      <c r="D123" s="7" t="n"/>
      <c r="E123" s="6" t="n"/>
      <c r="F123" s="6" t="n"/>
      <c r="G123" s="6" t="n"/>
      <c r="H123" s="6" t="n"/>
      <c r="I123" s="7" t="n"/>
      <c r="J123" s="8" t="n"/>
      <c r="K123" s="8" t="n"/>
      <c r="L123" s="8" t="n"/>
      <c r="M123" s="9">
        <f>IF(COUNTA(J123,K123,L123)=0,"",ROUND((J123/20)*20*0.5+(K123/20)*20*0.3+(L123/20)*20*0.2,1))</f>
        <v/>
      </c>
      <c r="N123" s="10">
        <f>IF(M123="","",IF(M123&gt;=14,"APROBADO","DESAPROBADO"))</f>
        <v/>
      </c>
      <c r="O123" s="7" t="n"/>
    </row>
    <row r="124">
      <c r="A124" s="6" t="n">
        <v>118</v>
      </c>
      <c r="B124" s="6" t="n"/>
      <c r="C124" s="6" t="n"/>
      <c r="D124" s="7" t="n"/>
      <c r="E124" s="6" t="n"/>
      <c r="F124" s="6" t="n"/>
      <c r="G124" s="6" t="n"/>
      <c r="H124" s="6" t="n"/>
      <c r="I124" s="7" t="n"/>
      <c r="J124" s="8" t="n"/>
      <c r="K124" s="8" t="n"/>
      <c r="L124" s="8" t="n"/>
      <c r="M124" s="9">
        <f>IF(COUNTA(J124,K124,L124)=0,"",ROUND((J124/20)*20*0.5+(K124/20)*20*0.3+(L124/20)*20*0.2,1))</f>
        <v/>
      </c>
      <c r="N124" s="10">
        <f>IF(M124="","",IF(M124&gt;=14,"APROBADO","DESAPROBADO"))</f>
        <v/>
      </c>
      <c r="O124" s="7" t="n"/>
    </row>
    <row r="125">
      <c r="A125" s="6" t="n">
        <v>119</v>
      </c>
      <c r="B125" s="6" t="n"/>
      <c r="C125" s="6" t="n"/>
      <c r="D125" s="7" t="n"/>
      <c r="E125" s="6" t="n"/>
      <c r="F125" s="6" t="n"/>
      <c r="G125" s="6" t="n"/>
      <c r="H125" s="6" t="n"/>
      <c r="I125" s="7" t="n"/>
      <c r="J125" s="8" t="n"/>
      <c r="K125" s="8" t="n"/>
      <c r="L125" s="8" t="n"/>
      <c r="M125" s="9">
        <f>IF(COUNTA(J125,K125,L125)=0,"",ROUND((J125/20)*20*0.5+(K125/20)*20*0.3+(L125/20)*20*0.2,1))</f>
        <v/>
      </c>
      <c r="N125" s="10">
        <f>IF(M125="","",IF(M125&gt;=14,"APROBADO","DESAPROBADO"))</f>
        <v/>
      </c>
      <c r="O125" s="7" t="n"/>
    </row>
    <row r="126">
      <c r="A126" s="6" t="n">
        <v>120</v>
      </c>
      <c r="B126" s="6" t="n"/>
      <c r="C126" s="6" t="n"/>
      <c r="D126" s="7" t="n"/>
      <c r="E126" s="6" t="n"/>
      <c r="F126" s="6" t="n"/>
      <c r="G126" s="6" t="n"/>
      <c r="H126" s="6" t="n"/>
      <c r="I126" s="7" t="n"/>
      <c r="J126" s="8" t="n"/>
      <c r="K126" s="8" t="n"/>
      <c r="L126" s="8" t="n"/>
      <c r="M126" s="9">
        <f>IF(COUNTA(J126,K126,L126)=0,"",ROUND((J126/20)*20*0.5+(K126/20)*20*0.3+(L126/20)*20*0.2,1))</f>
        <v/>
      </c>
      <c r="N126" s="10">
        <f>IF(M126="","",IF(M126&gt;=14,"APROBADO","DESAPROBADO"))</f>
        <v/>
      </c>
      <c r="O126" s="7" t="n"/>
    </row>
    <row r="127">
      <c r="A127" s="6" t="n">
        <v>121</v>
      </c>
      <c r="B127" s="6" t="n"/>
      <c r="C127" s="6" t="n"/>
      <c r="D127" s="7" t="n"/>
      <c r="E127" s="6" t="n"/>
      <c r="F127" s="6" t="n"/>
      <c r="G127" s="6" t="n"/>
      <c r="H127" s="6" t="n"/>
      <c r="I127" s="7" t="n"/>
      <c r="J127" s="8" t="n"/>
      <c r="K127" s="8" t="n"/>
      <c r="L127" s="8" t="n"/>
      <c r="M127" s="9">
        <f>IF(COUNTA(J127,K127,L127)=0,"",ROUND((J127/20)*20*0.5+(K127/20)*20*0.3+(L127/20)*20*0.2,1))</f>
        <v/>
      </c>
      <c r="N127" s="10">
        <f>IF(M127="","",IF(M127&gt;=14,"APROBADO","DESAPROBADO"))</f>
        <v/>
      </c>
      <c r="O127" s="7" t="n"/>
    </row>
    <row r="128">
      <c r="A128" s="6" t="n">
        <v>122</v>
      </c>
      <c r="B128" s="6" t="n"/>
      <c r="C128" s="6" t="n"/>
      <c r="D128" s="7" t="n"/>
      <c r="E128" s="6" t="n"/>
      <c r="F128" s="6" t="n"/>
      <c r="G128" s="6" t="n"/>
      <c r="H128" s="6" t="n"/>
      <c r="I128" s="7" t="n"/>
      <c r="J128" s="8" t="n"/>
      <c r="K128" s="8" t="n"/>
      <c r="L128" s="8" t="n"/>
      <c r="M128" s="9">
        <f>IF(COUNTA(J128,K128,L128)=0,"",ROUND((J128/20)*20*0.5+(K128/20)*20*0.3+(L128/20)*20*0.2,1))</f>
        <v/>
      </c>
      <c r="N128" s="10">
        <f>IF(M128="","",IF(M128&gt;=14,"APROBADO","DESAPROBADO"))</f>
        <v/>
      </c>
      <c r="O128" s="7" t="n"/>
    </row>
    <row r="129">
      <c r="A129" s="6" t="n">
        <v>123</v>
      </c>
      <c r="B129" s="6" t="n"/>
      <c r="C129" s="6" t="n"/>
      <c r="D129" s="7" t="n"/>
      <c r="E129" s="6" t="n"/>
      <c r="F129" s="6" t="n"/>
      <c r="G129" s="6" t="n"/>
      <c r="H129" s="6" t="n"/>
      <c r="I129" s="7" t="n"/>
      <c r="J129" s="8" t="n"/>
      <c r="K129" s="8" t="n"/>
      <c r="L129" s="8" t="n"/>
      <c r="M129" s="9">
        <f>IF(COUNTA(J129,K129,L129)=0,"",ROUND((J129/20)*20*0.5+(K129/20)*20*0.3+(L129/20)*20*0.2,1))</f>
        <v/>
      </c>
      <c r="N129" s="10">
        <f>IF(M129="","",IF(M129&gt;=14,"APROBADO","DESAPROBADO"))</f>
        <v/>
      </c>
      <c r="O129" s="7" t="n"/>
    </row>
    <row r="130">
      <c r="A130" s="6" t="n">
        <v>124</v>
      </c>
      <c r="B130" s="6" t="n"/>
      <c r="C130" s="6" t="n"/>
      <c r="D130" s="7" t="n"/>
      <c r="E130" s="6" t="n"/>
      <c r="F130" s="6" t="n"/>
      <c r="G130" s="6" t="n"/>
      <c r="H130" s="6" t="n"/>
      <c r="I130" s="7" t="n"/>
      <c r="J130" s="8" t="n"/>
      <c r="K130" s="8" t="n"/>
      <c r="L130" s="8" t="n"/>
      <c r="M130" s="9">
        <f>IF(COUNTA(J130,K130,L130)=0,"",ROUND((J130/20)*20*0.5+(K130/20)*20*0.3+(L130/20)*20*0.2,1))</f>
        <v/>
      </c>
      <c r="N130" s="10">
        <f>IF(M130="","",IF(M130&gt;=14,"APROBADO","DESAPROBADO"))</f>
        <v/>
      </c>
      <c r="O130" s="7" t="n"/>
    </row>
    <row r="131">
      <c r="A131" s="6" t="n">
        <v>125</v>
      </c>
      <c r="B131" s="6" t="n"/>
      <c r="C131" s="6" t="n"/>
      <c r="D131" s="7" t="n"/>
      <c r="E131" s="6" t="n"/>
      <c r="F131" s="6" t="n"/>
      <c r="G131" s="6" t="n"/>
      <c r="H131" s="6" t="n"/>
      <c r="I131" s="7" t="n"/>
      <c r="J131" s="8" t="n"/>
      <c r="K131" s="8" t="n"/>
      <c r="L131" s="8" t="n"/>
      <c r="M131" s="9">
        <f>IF(COUNTA(J131,K131,L131)=0,"",ROUND((J131/20)*20*0.5+(K131/20)*20*0.3+(L131/20)*20*0.2,1))</f>
        <v/>
      </c>
      <c r="N131" s="10">
        <f>IF(M131="","",IF(M131&gt;=14,"APROBADO","DESAPROBADO"))</f>
        <v/>
      </c>
      <c r="O131" s="7" t="n"/>
    </row>
    <row r="132">
      <c r="A132" s="6" t="n">
        <v>126</v>
      </c>
      <c r="B132" s="6" t="n"/>
      <c r="C132" s="6" t="n"/>
      <c r="D132" s="7" t="n"/>
      <c r="E132" s="6" t="n"/>
      <c r="F132" s="6" t="n"/>
      <c r="G132" s="6" t="n"/>
      <c r="H132" s="6" t="n"/>
      <c r="I132" s="7" t="n"/>
      <c r="J132" s="8" t="n"/>
      <c r="K132" s="8" t="n"/>
      <c r="L132" s="8" t="n"/>
      <c r="M132" s="9">
        <f>IF(COUNTA(J132,K132,L132)=0,"",ROUND((J132/20)*20*0.5+(K132/20)*20*0.3+(L132/20)*20*0.2,1))</f>
        <v/>
      </c>
      <c r="N132" s="10">
        <f>IF(M132="","",IF(M132&gt;=14,"APROBADO","DESAPROBADO"))</f>
        <v/>
      </c>
      <c r="O132" s="7" t="n"/>
    </row>
    <row r="133">
      <c r="A133" s="6" t="n">
        <v>127</v>
      </c>
      <c r="B133" s="6" t="n"/>
      <c r="C133" s="6" t="n"/>
      <c r="D133" s="7" t="n"/>
      <c r="E133" s="6" t="n"/>
      <c r="F133" s="6" t="n"/>
      <c r="G133" s="6" t="n"/>
      <c r="H133" s="6" t="n"/>
      <c r="I133" s="7" t="n"/>
      <c r="J133" s="8" t="n"/>
      <c r="K133" s="8" t="n"/>
      <c r="L133" s="8" t="n"/>
      <c r="M133" s="9">
        <f>IF(COUNTA(J133,K133,L133)=0,"",ROUND((J133/20)*20*0.5+(K133/20)*20*0.3+(L133/20)*20*0.2,1))</f>
        <v/>
      </c>
      <c r="N133" s="10">
        <f>IF(M133="","",IF(M133&gt;=14,"APROBADO","DESAPROBADO"))</f>
        <v/>
      </c>
      <c r="O133" s="7" t="n"/>
    </row>
    <row r="134">
      <c r="A134" s="6" t="n">
        <v>128</v>
      </c>
      <c r="B134" s="6" t="n"/>
      <c r="C134" s="6" t="n"/>
      <c r="D134" s="7" t="n"/>
      <c r="E134" s="6" t="n"/>
      <c r="F134" s="6" t="n"/>
      <c r="G134" s="6" t="n"/>
      <c r="H134" s="6" t="n"/>
      <c r="I134" s="7" t="n"/>
      <c r="J134" s="8" t="n"/>
      <c r="K134" s="8" t="n"/>
      <c r="L134" s="8" t="n"/>
      <c r="M134" s="9">
        <f>IF(COUNTA(J134,K134,L134)=0,"",ROUND((J134/20)*20*0.5+(K134/20)*20*0.3+(L134/20)*20*0.2,1))</f>
        <v/>
      </c>
      <c r="N134" s="10">
        <f>IF(M134="","",IF(M134&gt;=14,"APROBADO","DESAPROBADO"))</f>
        <v/>
      </c>
      <c r="O134" s="7" t="n"/>
    </row>
    <row r="135">
      <c r="A135" s="6" t="n">
        <v>129</v>
      </c>
      <c r="B135" s="6" t="n"/>
      <c r="C135" s="6" t="n"/>
      <c r="D135" s="7" t="n"/>
      <c r="E135" s="6" t="n"/>
      <c r="F135" s="6" t="n"/>
      <c r="G135" s="6" t="n"/>
      <c r="H135" s="6" t="n"/>
      <c r="I135" s="7" t="n"/>
      <c r="J135" s="8" t="n"/>
      <c r="K135" s="8" t="n"/>
      <c r="L135" s="8" t="n"/>
      <c r="M135" s="9">
        <f>IF(COUNTA(J135,K135,L135)=0,"",ROUND((J135/20)*20*0.5+(K135/20)*20*0.3+(L135/20)*20*0.2,1))</f>
        <v/>
      </c>
      <c r="N135" s="10">
        <f>IF(M135="","",IF(M135&gt;=14,"APROBADO","DESAPROBADO"))</f>
        <v/>
      </c>
      <c r="O135" s="7" t="n"/>
    </row>
    <row r="136">
      <c r="A136" s="6" t="n">
        <v>130</v>
      </c>
      <c r="B136" s="6" t="n"/>
      <c r="C136" s="6" t="n"/>
      <c r="D136" s="7" t="n"/>
      <c r="E136" s="6" t="n"/>
      <c r="F136" s="6" t="n"/>
      <c r="G136" s="6" t="n"/>
      <c r="H136" s="6" t="n"/>
      <c r="I136" s="7" t="n"/>
      <c r="J136" s="8" t="n"/>
      <c r="K136" s="8" t="n"/>
      <c r="L136" s="8" t="n"/>
      <c r="M136" s="9">
        <f>IF(COUNTA(J136,K136,L136)=0,"",ROUND((J136/20)*20*0.5+(K136/20)*20*0.3+(L136/20)*20*0.2,1))</f>
        <v/>
      </c>
      <c r="N136" s="10">
        <f>IF(M136="","",IF(M136&gt;=14,"APROBADO","DESAPROBADO"))</f>
        <v/>
      </c>
      <c r="O136" s="7" t="n"/>
    </row>
    <row r="137">
      <c r="A137" s="6" t="n">
        <v>131</v>
      </c>
      <c r="B137" s="6" t="n"/>
      <c r="C137" s="6" t="n"/>
      <c r="D137" s="7" t="n"/>
      <c r="E137" s="6" t="n"/>
      <c r="F137" s="6" t="n"/>
      <c r="G137" s="6" t="n"/>
      <c r="H137" s="6" t="n"/>
      <c r="I137" s="7" t="n"/>
      <c r="J137" s="8" t="n"/>
      <c r="K137" s="8" t="n"/>
      <c r="L137" s="8" t="n"/>
      <c r="M137" s="9">
        <f>IF(COUNTA(J137,K137,L137)=0,"",ROUND((J137/20)*20*0.5+(K137/20)*20*0.3+(L137/20)*20*0.2,1))</f>
        <v/>
      </c>
      <c r="N137" s="10">
        <f>IF(M137="","",IF(M137&gt;=14,"APROBADO","DESAPROBADO"))</f>
        <v/>
      </c>
      <c r="O137" s="7" t="n"/>
    </row>
    <row r="138">
      <c r="A138" s="6" t="n">
        <v>132</v>
      </c>
      <c r="B138" s="6" t="n"/>
      <c r="C138" s="6" t="n"/>
      <c r="D138" s="7" t="n"/>
      <c r="E138" s="6" t="n"/>
      <c r="F138" s="6" t="n"/>
      <c r="G138" s="6" t="n"/>
      <c r="H138" s="6" t="n"/>
      <c r="I138" s="7" t="n"/>
      <c r="J138" s="8" t="n"/>
      <c r="K138" s="8" t="n"/>
      <c r="L138" s="8" t="n"/>
      <c r="M138" s="9">
        <f>IF(COUNTA(J138,K138,L138)=0,"",ROUND((J138/20)*20*0.5+(K138/20)*20*0.3+(L138/20)*20*0.2,1))</f>
        <v/>
      </c>
      <c r="N138" s="10">
        <f>IF(M138="","",IF(M138&gt;=14,"APROBADO","DESAPROBADO"))</f>
        <v/>
      </c>
      <c r="O138" s="7" t="n"/>
    </row>
    <row r="139">
      <c r="A139" s="6" t="n">
        <v>133</v>
      </c>
      <c r="B139" s="6" t="n"/>
      <c r="C139" s="6" t="n"/>
      <c r="D139" s="7" t="n"/>
      <c r="E139" s="6" t="n"/>
      <c r="F139" s="6" t="n"/>
      <c r="G139" s="6" t="n"/>
      <c r="H139" s="6" t="n"/>
      <c r="I139" s="7" t="n"/>
      <c r="J139" s="8" t="n"/>
      <c r="K139" s="8" t="n"/>
      <c r="L139" s="8" t="n"/>
      <c r="M139" s="9">
        <f>IF(COUNTA(J139,K139,L139)=0,"",ROUND((J139/20)*20*0.5+(K139/20)*20*0.3+(L139/20)*20*0.2,1))</f>
        <v/>
      </c>
      <c r="N139" s="10">
        <f>IF(M139="","",IF(M139&gt;=14,"APROBADO","DESAPROBADO"))</f>
        <v/>
      </c>
      <c r="O139" s="7" t="n"/>
    </row>
    <row r="140">
      <c r="A140" s="6" t="n">
        <v>134</v>
      </c>
      <c r="B140" s="6" t="n"/>
      <c r="C140" s="6" t="n"/>
      <c r="D140" s="7" t="n"/>
      <c r="E140" s="6" t="n"/>
      <c r="F140" s="6" t="n"/>
      <c r="G140" s="6" t="n"/>
      <c r="H140" s="6" t="n"/>
      <c r="I140" s="7" t="n"/>
      <c r="J140" s="8" t="n"/>
      <c r="K140" s="8" t="n"/>
      <c r="L140" s="8" t="n"/>
      <c r="M140" s="9">
        <f>IF(COUNTA(J140,K140,L140)=0,"",ROUND((J140/20)*20*0.5+(K140/20)*20*0.3+(L140/20)*20*0.2,1))</f>
        <v/>
      </c>
      <c r="N140" s="10">
        <f>IF(M140="","",IF(M140&gt;=14,"APROBADO","DESAPROBADO"))</f>
        <v/>
      </c>
      <c r="O140" s="7" t="n"/>
    </row>
    <row r="141">
      <c r="A141" s="6" t="n">
        <v>135</v>
      </c>
      <c r="B141" s="6" t="n"/>
      <c r="C141" s="6" t="n"/>
      <c r="D141" s="7" t="n"/>
      <c r="E141" s="6" t="n"/>
      <c r="F141" s="6" t="n"/>
      <c r="G141" s="6" t="n"/>
      <c r="H141" s="6" t="n"/>
      <c r="I141" s="7" t="n"/>
      <c r="J141" s="8" t="n"/>
      <c r="K141" s="8" t="n"/>
      <c r="L141" s="8" t="n"/>
      <c r="M141" s="9">
        <f>IF(COUNTA(J141,K141,L141)=0,"",ROUND((J141/20)*20*0.5+(K141/20)*20*0.3+(L141/20)*20*0.2,1))</f>
        <v/>
      </c>
      <c r="N141" s="10">
        <f>IF(M141="","",IF(M141&gt;=14,"APROBADO","DESAPROBADO"))</f>
        <v/>
      </c>
      <c r="O141" s="7" t="n"/>
    </row>
    <row r="142">
      <c r="A142" s="6" t="n">
        <v>136</v>
      </c>
      <c r="B142" s="6" t="n"/>
      <c r="C142" s="6" t="n"/>
      <c r="D142" s="7" t="n"/>
      <c r="E142" s="6" t="n"/>
      <c r="F142" s="6" t="n"/>
      <c r="G142" s="6" t="n"/>
      <c r="H142" s="6" t="n"/>
      <c r="I142" s="7" t="n"/>
      <c r="J142" s="8" t="n"/>
      <c r="K142" s="8" t="n"/>
      <c r="L142" s="8" t="n"/>
      <c r="M142" s="9">
        <f>IF(COUNTA(J142,K142,L142)=0,"",ROUND((J142/20)*20*0.5+(K142/20)*20*0.3+(L142/20)*20*0.2,1))</f>
        <v/>
      </c>
      <c r="N142" s="10">
        <f>IF(M142="","",IF(M142&gt;=14,"APROBADO","DESAPROBADO"))</f>
        <v/>
      </c>
      <c r="O142" s="7" t="n"/>
    </row>
    <row r="143">
      <c r="A143" s="6" t="n">
        <v>137</v>
      </c>
      <c r="B143" s="6" t="n"/>
      <c r="C143" s="6" t="n"/>
      <c r="D143" s="7" t="n"/>
      <c r="E143" s="6" t="n"/>
      <c r="F143" s="6" t="n"/>
      <c r="G143" s="6" t="n"/>
      <c r="H143" s="6" t="n"/>
      <c r="I143" s="7" t="n"/>
      <c r="J143" s="8" t="n"/>
      <c r="K143" s="8" t="n"/>
      <c r="L143" s="8" t="n"/>
      <c r="M143" s="9">
        <f>IF(COUNTA(J143,K143,L143)=0,"",ROUND((J143/20)*20*0.5+(K143/20)*20*0.3+(L143/20)*20*0.2,1))</f>
        <v/>
      </c>
      <c r="N143" s="10">
        <f>IF(M143="","",IF(M143&gt;=14,"APROBADO","DESAPROBADO"))</f>
        <v/>
      </c>
      <c r="O143" s="7" t="n"/>
    </row>
    <row r="144">
      <c r="A144" s="6" t="n">
        <v>138</v>
      </c>
      <c r="B144" s="6" t="n"/>
      <c r="C144" s="6" t="n"/>
      <c r="D144" s="7" t="n"/>
      <c r="E144" s="6" t="n"/>
      <c r="F144" s="6" t="n"/>
      <c r="G144" s="6" t="n"/>
      <c r="H144" s="6" t="n"/>
      <c r="I144" s="7" t="n"/>
      <c r="J144" s="8" t="n"/>
      <c r="K144" s="8" t="n"/>
      <c r="L144" s="8" t="n"/>
      <c r="M144" s="9">
        <f>IF(COUNTA(J144,K144,L144)=0,"",ROUND((J144/20)*20*0.5+(K144/20)*20*0.3+(L144/20)*20*0.2,1))</f>
        <v/>
      </c>
      <c r="N144" s="10">
        <f>IF(M144="","",IF(M144&gt;=14,"APROBADO","DESAPROBADO"))</f>
        <v/>
      </c>
      <c r="O144" s="7" t="n"/>
    </row>
    <row r="145">
      <c r="A145" s="6" t="n">
        <v>139</v>
      </c>
      <c r="B145" s="6" t="n"/>
      <c r="C145" s="6" t="n"/>
      <c r="D145" s="7" t="n"/>
      <c r="E145" s="6" t="n"/>
      <c r="F145" s="6" t="n"/>
      <c r="G145" s="6" t="n"/>
      <c r="H145" s="6" t="n"/>
      <c r="I145" s="7" t="n"/>
      <c r="J145" s="8" t="n"/>
      <c r="K145" s="8" t="n"/>
      <c r="L145" s="8" t="n"/>
      <c r="M145" s="9">
        <f>IF(COUNTA(J145,K145,L145)=0,"",ROUND((J145/20)*20*0.5+(K145/20)*20*0.3+(L145/20)*20*0.2,1))</f>
        <v/>
      </c>
      <c r="N145" s="10">
        <f>IF(M145="","",IF(M145&gt;=14,"APROBADO","DESAPROBADO"))</f>
        <v/>
      </c>
      <c r="O145" s="7" t="n"/>
    </row>
    <row r="146">
      <c r="A146" s="6" t="n">
        <v>140</v>
      </c>
      <c r="B146" s="6" t="n"/>
      <c r="C146" s="6" t="n"/>
      <c r="D146" s="7" t="n"/>
      <c r="E146" s="6" t="n"/>
      <c r="F146" s="6" t="n"/>
      <c r="G146" s="6" t="n"/>
      <c r="H146" s="6" t="n"/>
      <c r="I146" s="7" t="n"/>
      <c r="J146" s="8" t="n"/>
      <c r="K146" s="8" t="n"/>
      <c r="L146" s="8" t="n"/>
      <c r="M146" s="9">
        <f>IF(COUNTA(J146,K146,L146)=0,"",ROUND((J146/20)*20*0.5+(K146/20)*20*0.3+(L146/20)*20*0.2,1))</f>
        <v/>
      </c>
      <c r="N146" s="10">
        <f>IF(M146="","",IF(M146&gt;=14,"APROBADO","DESAPROBADO"))</f>
        <v/>
      </c>
      <c r="O146" s="7" t="n"/>
    </row>
    <row r="147">
      <c r="A147" s="6" t="n">
        <v>141</v>
      </c>
      <c r="B147" s="6" t="n"/>
      <c r="C147" s="6" t="n"/>
      <c r="D147" s="7" t="n"/>
      <c r="E147" s="6" t="n"/>
      <c r="F147" s="6" t="n"/>
      <c r="G147" s="6" t="n"/>
      <c r="H147" s="6" t="n"/>
      <c r="I147" s="7" t="n"/>
      <c r="J147" s="8" t="n"/>
      <c r="K147" s="8" t="n"/>
      <c r="L147" s="8" t="n"/>
      <c r="M147" s="9">
        <f>IF(COUNTA(J147,K147,L147)=0,"",ROUND((J147/20)*20*0.5+(K147/20)*20*0.3+(L147/20)*20*0.2,1))</f>
        <v/>
      </c>
      <c r="N147" s="10">
        <f>IF(M147="","",IF(M147&gt;=14,"APROBADO","DESAPROBADO"))</f>
        <v/>
      </c>
      <c r="O147" s="7" t="n"/>
    </row>
    <row r="148">
      <c r="A148" s="6" t="n">
        <v>142</v>
      </c>
      <c r="B148" s="6" t="n"/>
      <c r="C148" s="6" t="n"/>
      <c r="D148" s="7" t="n"/>
      <c r="E148" s="6" t="n"/>
      <c r="F148" s="6" t="n"/>
      <c r="G148" s="6" t="n"/>
      <c r="H148" s="6" t="n"/>
      <c r="I148" s="7" t="n"/>
      <c r="J148" s="8" t="n"/>
      <c r="K148" s="8" t="n"/>
      <c r="L148" s="8" t="n"/>
      <c r="M148" s="9">
        <f>IF(COUNTA(J148,K148,L148)=0,"",ROUND((J148/20)*20*0.5+(K148/20)*20*0.3+(L148/20)*20*0.2,1))</f>
        <v/>
      </c>
      <c r="N148" s="10">
        <f>IF(M148="","",IF(M148&gt;=14,"APROBADO","DESAPROBADO"))</f>
        <v/>
      </c>
      <c r="O148" s="7" t="n"/>
    </row>
    <row r="149">
      <c r="A149" s="6" t="n">
        <v>143</v>
      </c>
      <c r="B149" s="6" t="n"/>
      <c r="C149" s="6" t="n"/>
      <c r="D149" s="7" t="n"/>
      <c r="E149" s="6" t="n"/>
      <c r="F149" s="6" t="n"/>
      <c r="G149" s="6" t="n"/>
      <c r="H149" s="6" t="n"/>
      <c r="I149" s="7" t="n"/>
      <c r="J149" s="8" t="n"/>
      <c r="K149" s="8" t="n"/>
      <c r="L149" s="8" t="n"/>
      <c r="M149" s="9">
        <f>IF(COUNTA(J149,K149,L149)=0,"",ROUND((J149/20)*20*0.5+(K149/20)*20*0.3+(L149/20)*20*0.2,1))</f>
        <v/>
      </c>
      <c r="N149" s="10">
        <f>IF(M149="","",IF(M149&gt;=14,"APROBADO","DESAPROBADO"))</f>
        <v/>
      </c>
      <c r="O149" s="7" t="n"/>
    </row>
    <row r="150">
      <c r="A150" s="6" t="n">
        <v>144</v>
      </c>
      <c r="B150" s="6" t="n"/>
      <c r="C150" s="6" t="n"/>
      <c r="D150" s="7" t="n"/>
      <c r="E150" s="6" t="n"/>
      <c r="F150" s="6" t="n"/>
      <c r="G150" s="6" t="n"/>
      <c r="H150" s="6" t="n"/>
      <c r="I150" s="7" t="n"/>
      <c r="J150" s="8" t="n"/>
      <c r="K150" s="8" t="n"/>
      <c r="L150" s="8" t="n"/>
      <c r="M150" s="9">
        <f>IF(COUNTA(J150,K150,L150)=0,"",ROUND((J150/20)*20*0.5+(K150/20)*20*0.3+(L150/20)*20*0.2,1))</f>
        <v/>
      </c>
      <c r="N150" s="10">
        <f>IF(M150="","",IF(M150&gt;=14,"APROBADO","DESAPROBADO"))</f>
        <v/>
      </c>
      <c r="O150" s="7" t="n"/>
    </row>
    <row r="151">
      <c r="A151" s="6" t="n">
        <v>145</v>
      </c>
      <c r="B151" s="6" t="n"/>
      <c r="C151" s="6" t="n"/>
      <c r="D151" s="7" t="n"/>
      <c r="E151" s="6" t="n"/>
      <c r="F151" s="6" t="n"/>
      <c r="G151" s="6" t="n"/>
      <c r="H151" s="6" t="n"/>
      <c r="I151" s="7" t="n"/>
      <c r="J151" s="8" t="n"/>
      <c r="K151" s="8" t="n"/>
      <c r="L151" s="8" t="n"/>
      <c r="M151" s="9">
        <f>IF(COUNTA(J151,K151,L151)=0,"",ROUND((J151/20)*20*0.5+(K151/20)*20*0.3+(L151/20)*20*0.2,1))</f>
        <v/>
      </c>
      <c r="N151" s="10">
        <f>IF(M151="","",IF(M151&gt;=14,"APROBADO","DESAPROBADO"))</f>
        <v/>
      </c>
      <c r="O151" s="7" t="n"/>
    </row>
    <row r="152">
      <c r="A152" s="6" t="n">
        <v>146</v>
      </c>
      <c r="B152" s="6" t="n"/>
      <c r="C152" s="6" t="n"/>
      <c r="D152" s="7" t="n"/>
      <c r="E152" s="6" t="n"/>
      <c r="F152" s="6" t="n"/>
      <c r="G152" s="6" t="n"/>
      <c r="H152" s="6" t="n"/>
      <c r="I152" s="7" t="n"/>
      <c r="J152" s="8" t="n"/>
      <c r="K152" s="8" t="n"/>
      <c r="L152" s="8" t="n"/>
      <c r="M152" s="9">
        <f>IF(COUNTA(J152,K152,L152)=0,"",ROUND((J152/20)*20*0.5+(K152/20)*20*0.3+(L152/20)*20*0.2,1))</f>
        <v/>
      </c>
      <c r="N152" s="10">
        <f>IF(M152="","",IF(M152&gt;=14,"APROBADO","DESAPROBADO"))</f>
        <v/>
      </c>
      <c r="O152" s="7" t="n"/>
    </row>
    <row r="153">
      <c r="A153" s="6" t="n">
        <v>147</v>
      </c>
      <c r="B153" s="6" t="n"/>
      <c r="C153" s="6" t="n"/>
      <c r="D153" s="7" t="n"/>
      <c r="E153" s="6" t="n"/>
      <c r="F153" s="6" t="n"/>
      <c r="G153" s="6" t="n"/>
      <c r="H153" s="6" t="n"/>
      <c r="I153" s="7" t="n"/>
      <c r="J153" s="8" t="n"/>
      <c r="K153" s="8" t="n"/>
      <c r="L153" s="8" t="n"/>
      <c r="M153" s="9">
        <f>IF(COUNTA(J153,K153,L153)=0,"",ROUND((J153/20)*20*0.5+(K153/20)*20*0.3+(L153/20)*20*0.2,1))</f>
        <v/>
      </c>
      <c r="N153" s="10">
        <f>IF(M153="","",IF(M153&gt;=14,"APROBADO","DESAPROBADO"))</f>
        <v/>
      </c>
      <c r="O153" s="7" t="n"/>
    </row>
    <row r="154">
      <c r="A154" s="6" t="n">
        <v>148</v>
      </c>
      <c r="B154" s="6" t="n"/>
      <c r="C154" s="6" t="n"/>
      <c r="D154" s="7" t="n"/>
      <c r="E154" s="6" t="n"/>
      <c r="F154" s="6" t="n"/>
      <c r="G154" s="6" t="n"/>
      <c r="H154" s="6" t="n"/>
      <c r="I154" s="7" t="n"/>
      <c r="J154" s="8" t="n"/>
      <c r="K154" s="8" t="n"/>
      <c r="L154" s="8" t="n"/>
      <c r="M154" s="9">
        <f>IF(COUNTA(J154,K154,L154)=0,"",ROUND((J154/20)*20*0.5+(K154/20)*20*0.3+(L154/20)*20*0.2,1))</f>
        <v/>
      </c>
      <c r="N154" s="10">
        <f>IF(M154="","",IF(M154&gt;=14,"APROBADO","DESAPROBADO"))</f>
        <v/>
      </c>
      <c r="O154" s="7" t="n"/>
    </row>
    <row r="155">
      <c r="A155" s="6" t="n">
        <v>149</v>
      </c>
      <c r="B155" s="6" t="n"/>
      <c r="C155" s="6" t="n"/>
      <c r="D155" s="7" t="n"/>
      <c r="E155" s="6" t="n"/>
      <c r="F155" s="6" t="n"/>
      <c r="G155" s="6" t="n"/>
      <c r="H155" s="6" t="n"/>
      <c r="I155" s="7" t="n"/>
      <c r="J155" s="8" t="n"/>
      <c r="K155" s="8" t="n"/>
      <c r="L155" s="8" t="n"/>
      <c r="M155" s="9">
        <f>IF(COUNTA(J155,K155,L155)=0,"",ROUND((J155/20)*20*0.5+(K155/20)*20*0.3+(L155/20)*20*0.2,1))</f>
        <v/>
      </c>
      <c r="N155" s="10">
        <f>IF(M155="","",IF(M155&gt;=14,"APROBADO","DESAPROBADO"))</f>
        <v/>
      </c>
      <c r="O155" s="7" t="n"/>
    </row>
    <row r="156">
      <c r="A156" s="6" t="n">
        <v>150</v>
      </c>
      <c r="B156" s="6" t="n"/>
      <c r="C156" s="6" t="n"/>
      <c r="D156" s="7" t="n"/>
      <c r="E156" s="6" t="n"/>
      <c r="F156" s="6" t="n"/>
      <c r="G156" s="6" t="n"/>
      <c r="H156" s="6" t="n"/>
      <c r="I156" s="7" t="n"/>
      <c r="J156" s="8" t="n"/>
      <c r="K156" s="8" t="n"/>
      <c r="L156" s="8" t="n"/>
      <c r="M156" s="9">
        <f>IF(COUNTA(J156,K156,L156)=0,"",ROUND((J156/20)*20*0.5+(K156/20)*20*0.3+(L156/20)*20*0.2,1))</f>
        <v/>
      </c>
      <c r="N156" s="10">
        <f>IF(M156="","",IF(M156&gt;=14,"APROBADO","DESAPROBADO"))</f>
        <v/>
      </c>
      <c r="O156" s="7" t="n"/>
    </row>
    <row r="157">
      <c r="A157" s="6" t="n">
        <v>151</v>
      </c>
      <c r="B157" s="6" t="n"/>
      <c r="C157" s="6" t="n"/>
      <c r="D157" s="7" t="n"/>
      <c r="E157" s="6" t="n"/>
      <c r="F157" s="6" t="n"/>
      <c r="G157" s="6" t="n"/>
      <c r="H157" s="6" t="n"/>
      <c r="I157" s="7" t="n"/>
      <c r="J157" s="8" t="n"/>
      <c r="K157" s="8" t="n"/>
      <c r="L157" s="8" t="n"/>
      <c r="M157" s="9">
        <f>IF(COUNTA(J157,K157,L157)=0,"",ROUND((J157/20)*20*0.5+(K157/20)*20*0.3+(L157/20)*20*0.2,1))</f>
        <v/>
      </c>
      <c r="N157" s="10">
        <f>IF(M157="","",IF(M157&gt;=14,"APROBADO","DESAPROBADO"))</f>
        <v/>
      </c>
      <c r="O157" s="7" t="n"/>
    </row>
    <row r="158">
      <c r="A158" s="6" t="n">
        <v>152</v>
      </c>
      <c r="B158" s="6" t="n"/>
      <c r="C158" s="6" t="n"/>
      <c r="D158" s="7" t="n"/>
      <c r="E158" s="6" t="n"/>
      <c r="F158" s="6" t="n"/>
      <c r="G158" s="6" t="n"/>
      <c r="H158" s="6" t="n"/>
      <c r="I158" s="7" t="n"/>
      <c r="J158" s="8" t="n"/>
      <c r="K158" s="8" t="n"/>
      <c r="L158" s="8" t="n"/>
      <c r="M158" s="9">
        <f>IF(COUNTA(J158,K158,L158)=0,"",ROUND((J158/20)*20*0.5+(K158/20)*20*0.3+(L158/20)*20*0.2,1))</f>
        <v/>
      </c>
      <c r="N158" s="10">
        <f>IF(M158="","",IF(M158&gt;=14,"APROBADO","DESAPROBADO"))</f>
        <v/>
      </c>
      <c r="O158" s="7" t="n"/>
    </row>
    <row r="159">
      <c r="A159" s="6" t="n">
        <v>153</v>
      </c>
      <c r="B159" s="6" t="n"/>
      <c r="C159" s="6" t="n"/>
      <c r="D159" s="7" t="n"/>
      <c r="E159" s="6" t="n"/>
      <c r="F159" s="6" t="n"/>
      <c r="G159" s="6" t="n"/>
      <c r="H159" s="6" t="n"/>
      <c r="I159" s="7" t="n"/>
      <c r="J159" s="8" t="n"/>
      <c r="K159" s="8" t="n"/>
      <c r="L159" s="8" t="n"/>
      <c r="M159" s="9">
        <f>IF(COUNTA(J159,K159,L159)=0,"",ROUND((J159/20)*20*0.5+(K159/20)*20*0.3+(L159/20)*20*0.2,1))</f>
        <v/>
      </c>
      <c r="N159" s="10">
        <f>IF(M159="","",IF(M159&gt;=14,"APROBADO","DESAPROBADO"))</f>
        <v/>
      </c>
      <c r="O159" s="7" t="n"/>
    </row>
    <row r="160">
      <c r="A160" s="6" t="n">
        <v>154</v>
      </c>
      <c r="B160" s="6" t="n"/>
      <c r="C160" s="6" t="n"/>
      <c r="D160" s="7" t="n"/>
      <c r="E160" s="6" t="n"/>
      <c r="F160" s="6" t="n"/>
      <c r="G160" s="6" t="n"/>
      <c r="H160" s="6" t="n"/>
      <c r="I160" s="7" t="n"/>
      <c r="J160" s="8" t="n"/>
      <c r="K160" s="8" t="n"/>
      <c r="L160" s="8" t="n"/>
      <c r="M160" s="9">
        <f>IF(COUNTA(J160,K160,L160)=0,"",ROUND((J160/20)*20*0.5+(K160/20)*20*0.3+(L160/20)*20*0.2,1))</f>
        <v/>
      </c>
      <c r="N160" s="10">
        <f>IF(M160="","",IF(M160&gt;=14,"APROBADO","DESAPROBADO"))</f>
        <v/>
      </c>
      <c r="O160" s="7" t="n"/>
    </row>
    <row r="161">
      <c r="A161" s="6" t="n">
        <v>155</v>
      </c>
      <c r="B161" s="6" t="n"/>
      <c r="C161" s="6" t="n"/>
      <c r="D161" s="7" t="n"/>
      <c r="E161" s="6" t="n"/>
      <c r="F161" s="6" t="n"/>
      <c r="G161" s="6" t="n"/>
      <c r="H161" s="6" t="n"/>
      <c r="I161" s="7" t="n"/>
      <c r="J161" s="8" t="n"/>
      <c r="K161" s="8" t="n"/>
      <c r="L161" s="8" t="n"/>
      <c r="M161" s="9">
        <f>IF(COUNTA(J161,K161,L161)=0,"",ROUND((J161/20)*20*0.5+(K161/20)*20*0.3+(L161/20)*20*0.2,1))</f>
        <v/>
      </c>
      <c r="N161" s="10">
        <f>IF(M161="","",IF(M161&gt;=14,"APROBADO","DESAPROBADO"))</f>
        <v/>
      </c>
      <c r="O161" s="7" t="n"/>
    </row>
    <row r="162">
      <c r="A162" s="6" t="n">
        <v>156</v>
      </c>
      <c r="B162" s="6" t="n"/>
      <c r="C162" s="6" t="n"/>
      <c r="D162" s="7" t="n"/>
      <c r="E162" s="6" t="n"/>
      <c r="F162" s="6" t="n"/>
      <c r="G162" s="6" t="n"/>
      <c r="H162" s="6" t="n"/>
      <c r="I162" s="7" t="n"/>
      <c r="J162" s="8" t="n"/>
      <c r="K162" s="8" t="n"/>
      <c r="L162" s="8" t="n"/>
      <c r="M162" s="9">
        <f>IF(COUNTA(J162,K162,L162)=0,"",ROUND((J162/20)*20*0.5+(K162/20)*20*0.3+(L162/20)*20*0.2,1))</f>
        <v/>
      </c>
      <c r="N162" s="10">
        <f>IF(M162="","",IF(M162&gt;=14,"APROBADO","DESAPROBADO"))</f>
        <v/>
      </c>
      <c r="O162" s="7" t="n"/>
    </row>
    <row r="163">
      <c r="A163" s="6" t="n">
        <v>157</v>
      </c>
      <c r="B163" s="6" t="n"/>
      <c r="C163" s="6" t="n"/>
      <c r="D163" s="7" t="n"/>
      <c r="E163" s="6" t="n"/>
      <c r="F163" s="6" t="n"/>
      <c r="G163" s="6" t="n"/>
      <c r="H163" s="6" t="n"/>
      <c r="I163" s="7" t="n"/>
      <c r="J163" s="8" t="n"/>
      <c r="K163" s="8" t="n"/>
      <c r="L163" s="8" t="n"/>
      <c r="M163" s="9">
        <f>IF(COUNTA(J163,K163,L163)=0,"",ROUND((J163/20)*20*0.5+(K163/20)*20*0.3+(L163/20)*20*0.2,1))</f>
        <v/>
      </c>
      <c r="N163" s="10">
        <f>IF(M163="","",IF(M163&gt;=14,"APROBADO","DESAPROBADO"))</f>
        <v/>
      </c>
      <c r="O163" s="7" t="n"/>
    </row>
    <row r="164">
      <c r="A164" s="6" t="n">
        <v>158</v>
      </c>
      <c r="B164" s="6" t="n"/>
      <c r="C164" s="6" t="n"/>
      <c r="D164" s="7" t="n"/>
      <c r="E164" s="6" t="n"/>
      <c r="F164" s="6" t="n"/>
      <c r="G164" s="6" t="n"/>
      <c r="H164" s="6" t="n"/>
      <c r="I164" s="7" t="n"/>
      <c r="J164" s="8" t="n"/>
      <c r="K164" s="8" t="n"/>
      <c r="L164" s="8" t="n"/>
      <c r="M164" s="9">
        <f>IF(COUNTA(J164,K164,L164)=0,"",ROUND((J164/20)*20*0.5+(K164/20)*20*0.3+(L164/20)*20*0.2,1))</f>
        <v/>
      </c>
      <c r="N164" s="10">
        <f>IF(M164="","",IF(M164&gt;=14,"APROBADO","DESAPROBADO"))</f>
        <v/>
      </c>
      <c r="O164" s="7" t="n"/>
    </row>
    <row r="165">
      <c r="A165" s="6" t="n">
        <v>159</v>
      </c>
      <c r="B165" s="6" t="n"/>
      <c r="C165" s="6" t="n"/>
      <c r="D165" s="7" t="n"/>
      <c r="E165" s="6" t="n"/>
      <c r="F165" s="6" t="n"/>
      <c r="G165" s="6" t="n"/>
      <c r="H165" s="6" t="n"/>
      <c r="I165" s="7" t="n"/>
      <c r="J165" s="8" t="n"/>
      <c r="K165" s="8" t="n"/>
      <c r="L165" s="8" t="n"/>
      <c r="M165" s="9">
        <f>IF(COUNTA(J165,K165,L165)=0,"",ROUND((J165/20)*20*0.5+(K165/20)*20*0.3+(L165/20)*20*0.2,1))</f>
        <v/>
      </c>
      <c r="N165" s="10">
        <f>IF(M165="","",IF(M165&gt;=14,"APROBADO","DESAPROBADO"))</f>
        <v/>
      </c>
      <c r="O165" s="7" t="n"/>
    </row>
    <row r="166">
      <c r="A166" s="6" t="n">
        <v>160</v>
      </c>
      <c r="B166" s="6" t="n"/>
      <c r="C166" s="6" t="n"/>
      <c r="D166" s="7" t="n"/>
      <c r="E166" s="6" t="n"/>
      <c r="F166" s="6" t="n"/>
      <c r="G166" s="6" t="n"/>
      <c r="H166" s="6" t="n"/>
      <c r="I166" s="7" t="n"/>
      <c r="J166" s="8" t="n"/>
      <c r="K166" s="8" t="n"/>
      <c r="L166" s="8" t="n"/>
      <c r="M166" s="9">
        <f>IF(COUNTA(J166,K166,L166)=0,"",ROUND((J166/20)*20*0.5+(K166/20)*20*0.3+(L166/20)*20*0.2,1))</f>
        <v/>
      </c>
      <c r="N166" s="10">
        <f>IF(M166="","",IF(M166&gt;=14,"APROBADO","DESAPROBADO"))</f>
        <v/>
      </c>
      <c r="O166" s="7" t="n"/>
    </row>
    <row r="167">
      <c r="A167" s="6" t="n">
        <v>161</v>
      </c>
      <c r="B167" s="6" t="n"/>
      <c r="C167" s="6" t="n"/>
      <c r="D167" s="7" t="n"/>
      <c r="E167" s="6" t="n"/>
      <c r="F167" s="6" t="n"/>
      <c r="G167" s="6" t="n"/>
      <c r="H167" s="6" t="n"/>
      <c r="I167" s="7" t="n"/>
      <c r="J167" s="8" t="n"/>
      <c r="K167" s="8" t="n"/>
      <c r="L167" s="8" t="n"/>
      <c r="M167" s="9">
        <f>IF(COUNTA(J167,K167,L167)=0,"",ROUND((J167/20)*20*0.5+(K167/20)*20*0.3+(L167/20)*20*0.2,1))</f>
        <v/>
      </c>
      <c r="N167" s="10">
        <f>IF(M167="","",IF(M167&gt;=14,"APROBADO","DESAPROBADO"))</f>
        <v/>
      </c>
      <c r="O167" s="7" t="n"/>
    </row>
    <row r="168">
      <c r="A168" s="6" t="n">
        <v>162</v>
      </c>
      <c r="B168" s="6" t="n"/>
      <c r="C168" s="6" t="n"/>
      <c r="D168" s="7" t="n"/>
      <c r="E168" s="6" t="n"/>
      <c r="F168" s="6" t="n"/>
      <c r="G168" s="6" t="n"/>
      <c r="H168" s="6" t="n"/>
      <c r="I168" s="7" t="n"/>
      <c r="J168" s="8" t="n"/>
      <c r="K168" s="8" t="n"/>
      <c r="L168" s="8" t="n"/>
      <c r="M168" s="9">
        <f>IF(COUNTA(J168,K168,L168)=0,"",ROUND((J168/20)*20*0.5+(K168/20)*20*0.3+(L168/20)*20*0.2,1))</f>
        <v/>
      </c>
      <c r="N168" s="10">
        <f>IF(M168="","",IF(M168&gt;=14,"APROBADO","DESAPROBADO"))</f>
        <v/>
      </c>
      <c r="O168" s="7" t="n"/>
    </row>
    <row r="169">
      <c r="A169" s="6" t="n">
        <v>163</v>
      </c>
      <c r="B169" s="6" t="n"/>
      <c r="C169" s="6" t="n"/>
      <c r="D169" s="7" t="n"/>
      <c r="E169" s="6" t="n"/>
      <c r="F169" s="6" t="n"/>
      <c r="G169" s="6" t="n"/>
      <c r="H169" s="6" t="n"/>
      <c r="I169" s="7" t="n"/>
      <c r="J169" s="8" t="n"/>
      <c r="K169" s="8" t="n"/>
      <c r="L169" s="8" t="n"/>
      <c r="M169" s="9">
        <f>IF(COUNTA(J169,K169,L169)=0,"",ROUND((J169/20)*20*0.5+(K169/20)*20*0.3+(L169/20)*20*0.2,1))</f>
        <v/>
      </c>
      <c r="N169" s="10">
        <f>IF(M169="","",IF(M169&gt;=14,"APROBADO","DESAPROBADO"))</f>
        <v/>
      </c>
      <c r="O169" s="7" t="n"/>
    </row>
    <row r="170">
      <c r="A170" s="6" t="n">
        <v>164</v>
      </c>
      <c r="B170" s="6" t="n"/>
      <c r="C170" s="6" t="n"/>
      <c r="D170" s="7" t="n"/>
      <c r="E170" s="6" t="n"/>
      <c r="F170" s="6" t="n"/>
      <c r="G170" s="6" t="n"/>
      <c r="H170" s="6" t="n"/>
      <c r="I170" s="7" t="n"/>
      <c r="J170" s="8" t="n"/>
      <c r="K170" s="8" t="n"/>
      <c r="L170" s="8" t="n"/>
      <c r="M170" s="9">
        <f>IF(COUNTA(J170,K170,L170)=0,"",ROUND((J170/20)*20*0.5+(K170/20)*20*0.3+(L170/20)*20*0.2,1))</f>
        <v/>
      </c>
      <c r="N170" s="10">
        <f>IF(M170="","",IF(M170&gt;=14,"APROBADO","DESAPROBADO"))</f>
        <v/>
      </c>
      <c r="O170" s="7" t="n"/>
    </row>
    <row r="171">
      <c r="A171" s="6" t="n">
        <v>165</v>
      </c>
      <c r="B171" s="6" t="n"/>
      <c r="C171" s="6" t="n"/>
      <c r="D171" s="7" t="n"/>
      <c r="E171" s="6" t="n"/>
      <c r="F171" s="6" t="n"/>
      <c r="G171" s="6" t="n"/>
      <c r="H171" s="6" t="n"/>
      <c r="I171" s="7" t="n"/>
      <c r="J171" s="8" t="n"/>
      <c r="K171" s="8" t="n"/>
      <c r="L171" s="8" t="n"/>
      <c r="M171" s="9">
        <f>IF(COUNTA(J171,K171,L171)=0,"",ROUND((J171/20)*20*0.5+(K171/20)*20*0.3+(L171/20)*20*0.2,1))</f>
        <v/>
      </c>
      <c r="N171" s="10">
        <f>IF(M171="","",IF(M171&gt;=14,"APROBADO","DESAPROBADO"))</f>
        <v/>
      </c>
      <c r="O171" s="7" t="n"/>
    </row>
    <row r="172">
      <c r="A172" s="6" t="n">
        <v>166</v>
      </c>
      <c r="B172" s="6" t="n"/>
      <c r="C172" s="6" t="n"/>
      <c r="D172" s="7" t="n"/>
      <c r="E172" s="6" t="n"/>
      <c r="F172" s="6" t="n"/>
      <c r="G172" s="6" t="n"/>
      <c r="H172" s="6" t="n"/>
      <c r="I172" s="7" t="n"/>
      <c r="J172" s="8" t="n"/>
      <c r="K172" s="8" t="n"/>
      <c r="L172" s="8" t="n"/>
      <c r="M172" s="9">
        <f>IF(COUNTA(J172,K172,L172)=0,"",ROUND((J172/20)*20*0.5+(K172/20)*20*0.3+(L172/20)*20*0.2,1))</f>
        <v/>
      </c>
      <c r="N172" s="10">
        <f>IF(M172="","",IF(M172&gt;=14,"APROBADO","DESAPROBADO"))</f>
        <v/>
      </c>
      <c r="O172" s="7" t="n"/>
    </row>
    <row r="173">
      <c r="A173" s="6" t="n">
        <v>167</v>
      </c>
      <c r="B173" s="6" t="n"/>
      <c r="C173" s="6" t="n"/>
      <c r="D173" s="7" t="n"/>
      <c r="E173" s="6" t="n"/>
      <c r="F173" s="6" t="n"/>
      <c r="G173" s="6" t="n"/>
      <c r="H173" s="6" t="n"/>
      <c r="I173" s="7" t="n"/>
      <c r="J173" s="8" t="n"/>
      <c r="K173" s="8" t="n"/>
      <c r="L173" s="8" t="n"/>
      <c r="M173" s="9">
        <f>IF(COUNTA(J173,K173,L173)=0,"",ROUND((J173/20)*20*0.5+(K173/20)*20*0.3+(L173/20)*20*0.2,1))</f>
        <v/>
      </c>
      <c r="N173" s="10">
        <f>IF(M173="","",IF(M173&gt;=14,"APROBADO","DESAPROBADO"))</f>
        <v/>
      </c>
      <c r="O173" s="7" t="n"/>
    </row>
    <row r="174">
      <c r="A174" s="6" t="n">
        <v>168</v>
      </c>
      <c r="B174" s="6" t="n"/>
      <c r="C174" s="6" t="n"/>
      <c r="D174" s="7" t="n"/>
      <c r="E174" s="6" t="n"/>
      <c r="F174" s="6" t="n"/>
      <c r="G174" s="6" t="n"/>
      <c r="H174" s="6" t="n"/>
      <c r="I174" s="7" t="n"/>
      <c r="J174" s="8" t="n"/>
      <c r="K174" s="8" t="n"/>
      <c r="L174" s="8" t="n"/>
      <c r="M174" s="9">
        <f>IF(COUNTA(J174,K174,L174)=0,"",ROUND((J174/20)*20*0.5+(K174/20)*20*0.3+(L174/20)*20*0.2,1))</f>
        <v/>
      </c>
      <c r="N174" s="10">
        <f>IF(M174="","",IF(M174&gt;=14,"APROBADO","DESAPROBADO"))</f>
        <v/>
      </c>
      <c r="O174" s="7" t="n"/>
    </row>
    <row r="175">
      <c r="A175" s="6" t="n">
        <v>169</v>
      </c>
      <c r="B175" s="6" t="n"/>
      <c r="C175" s="6" t="n"/>
      <c r="D175" s="7" t="n"/>
      <c r="E175" s="6" t="n"/>
      <c r="F175" s="6" t="n"/>
      <c r="G175" s="6" t="n"/>
      <c r="H175" s="6" t="n"/>
      <c r="I175" s="7" t="n"/>
      <c r="J175" s="8" t="n"/>
      <c r="K175" s="8" t="n"/>
      <c r="L175" s="8" t="n"/>
      <c r="M175" s="9">
        <f>IF(COUNTA(J175,K175,L175)=0,"",ROUND((J175/20)*20*0.5+(K175/20)*20*0.3+(L175/20)*20*0.2,1))</f>
        <v/>
      </c>
      <c r="N175" s="10">
        <f>IF(M175="","",IF(M175&gt;=14,"APROBADO","DESAPROBADO"))</f>
        <v/>
      </c>
      <c r="O175" s="7" t="n"/>
    </row>
    <row r="176">
      <c r="A176" s="6" t="n">
        <v>170</v>
      </c>
      <c r="B176" s="6" t="n"/>
      <c r="C176" s="6" t="n"/>
      <c r="D176" s="7" t="n"/>
      <c r="E176" s="6" t="n"/>
      <c r="F176" s="6" t="n"/>
      <c r="G176" s="6" t="n"/>
      <c r="H176" s="6" t="n"/>
      <c r="I176" s="7" t="n"/>
      <c r="J176" s="8" t="n"/>
      <c r="K176" s="8" t="n"/>
      <c r="L176" s="8" t="n"/>
      <c r="M176" s="9">
        <f>IF(COUNTA(J176,K176,L176)=0,"",ROUND((J176/20)*20*0.5+(K176/20)*20*0.3+(L176/20)*20*0.2,1))</f>
        <v/>
      </c>
      <c r="N176" s="10">
        <f>IF(M176="","",IF(M176&gt;=14,"APROBADO","DESAPROBADO"))</f>
        <v/>
      </c>
      <c r="O176" s="7" t="n"/>
    </row>
    <row r="177">
      <c r="A177" s="6" t="n">
        <v>171</v>
      </c>
      <c r="B177" s="6" t="n"/>
      <c r="C177" s="6" t="n"/>
      <c r="D177" s="7" t="n"/>
      <c r="E177" s="6" t="n"/>
      <c r="F177" s="6" t="n"/>
      <c r="G177" s="6" t="n"/>
      <c r="H177" s="6" t="n"/>
      <c r="I177" s="7" t="n"/>
      <c r="J177" s="8" t="n"/>
      <c r="K177" s="8" t="n"/>
      <c r="L177" s="8" t="n"/>
      <c r="M177" s="9">
        <f>IF(COUNTA(J177,K177,L177)=0,"",ROUND((J177/20)*20*0.5+(K177/20)*20*0.3+(L177/20)*20*0.2,1))</f>
        <v/>
      </c>
      <c r="N177" s="10">
        <f>IF(M177="","",IF(M177&gt;=14,"APROBADO","DESAPROBADO"))</f>
        <v/>
      </c>
      <c r="O177" s="7" t="n"/>
    </row>
    <row r="178">
      <c r="A178" s="6" t="n">
        <v>172</v>
      </c>
      <c r="B178" s="6" t="n"/>
      <c r="C178" s="6" t="n"/>
      <c r="D178" s="7" t="n"/>
      <c r="E178" s="6" t="n"/>
      <c r="F178" s="6" t="n"/>
      <c r="G178" s="6" t="n"/>
      <c r="H178" s="6" t="n"/>
      <c r="I178" s="7" t="n"/>
      <c r="J178" s="8" t="n"/>
      <c r="K178" s="8" t="n"/>
      <c r="L178" s="8" t="n"/>
      <c r="M178" s="9">
        <f>IF(COUNTA(J178,K178,L178)=0,"",ROUND((J178/20)*20*0.5+(K178/20)*20*0.3+(L178/20)*20*0.2,1))</f>
        <v/>
      </c>
      <c r="N178" s="10">
        <f>IF(M178="","",IF(M178&gt;=14,"APROBADO","DESAPROBADO"))</f>
        <v/>
      </c>
      <c r="O178" s="7" t="n"/>
    </row>
    <row r="179">
      <c r="A179" s="6" t="n">
        <v>173</v>
      </c>
      <c r="B179" s="6" t="n"/>
      <c r="C179" s="6" t="n"/>
      <c r="D179" s="7" t="n"/>
      <c r="E179" s="6" t="n"/>
      <c r="F179" s="6" t="n"/>
      <c r="G179" s="6" t="n"/>
      <c r="H179" s="6" t="n"/>
      <c r="I179" s="7" t="n"/>
      <c r="J179" s="8" t="n"/>
      <c r="K179" s="8" t="n"/>
      <c r="L179" s="8" t="n"/>
      <c r="M179" s="9">
        <f>IF(COUNTA(J179,K179,L179)=0,"",ROUND((J179/20)*20*0.5+(K179/20)*20*0.3+(L179/20)*20*0.2,1))</f>
        <v/>
      </c>
      <c r="N179" s="10">
        <f>IF(M179="","",IF(M179&gt;=14,"APROBADO","DESAPROBADO"))</f>
        <v/>
      </c>
      <c r="O179" s="7" t="n"/>
    </row>
    <row r="180">
      <c r="A180" s="6" t="n">
        <v>174</v>
      </c>
      <c r="B180" s="6" t="n"/>
      <c r="C180" s="6" t="n"/>
      <c r="D180" s="7" t="n"/>
      <c r="E180" s="6" t="n"/>
      <c r="F180" s="6" t="n"/>
      <c r="G180" s="6" t="n"/>
      <c r="H180" s="6" t="n"/>
      <c r="I180" s="7" t="n"/>
      <c r="J180" s="8" t="n"/>
      <c r="K180" s="8" t="n"/>
      <c r="L180" s="8" t="n"/>
      <c r="M180" s="9">
        <f>IF(COUNTA(J180,K180,L180)=0,"",ROUND((J180/20)*20*0.5+(K180/20)*20*0.3+(L180/20)*20*0.2,1))</f>
        <v/>
      </c>
      <c r="N180" s="10">
        <f>IF(M180="","",IF(M180&gt;=14,"APROBADO","DESAPROBADO"))</f>
        <v/>
      </c>
      <c r="O180" s="7" t="n"/>
    </row>
    <row r="181">
      <c r="A181" s="6" t="n">
        <v>175</v>
      </c>
      <c r="B181" s="6" t="n"/>
      <c r="C181" s="6" t="n"/>
      <c r="D181" s="7" t="n"/>
      <c r="E181" s="6" t="n"/>
      <c r="F181" s="6" t="n"/>
      <c r="G181" s="6" t="n"/>
      <c r="H181" s="6" t="n"/>
      <c r="I181" s="7" t="n"/>
      <c r="J181" s="8" t="n"/>
      <c r="K181" s="8" t="n"/>
      <c r="L181" s="8" t="n"/>
      <c r="M181" s="9">
        <f>IF(COUNTA(J181,K181,L181)=0,"",ROUND((J181/20)*20*0.5+(K181/20)*20*0.3+(L181/20)*20*0.2,1))</f>
        <v/>
      </c>
      <c r="N181" s="10">
        <f>IF(M181="","",IF(M181&gt;=14,"APROBADO","DESAPROBADO"))</f>
        <v/>
      </c>
      <c r="O181" s="7" t="n"/>
    </row>
    <row r="182">
      <c r="A182" s="6" t="n">
        <v>176</v>
      </c>
      <c r="B182" s="6" t="n"/>
      <c r="C182" s="6" t="n"/>
      <c r="D182" s="7" t="n"/>
      <c r="E182" s="6" t="n"/>
      <c r="F182" s="6" t="n"/>
      <c r="G182" s="6" t="n"/>
      <c r="H182" s="6" t="n"/>
      <c r="I182" s="7" t="n"/>
      <c r="J182" s="8" t="n"/>
      <c r="K182" s="8" t="n"/>
      <c r="L182" s="8" t="n"/>
      <c r="M182" s="9">
        <f>IF(COUNTA(J182,K182,L182)=0,"",ROUND((J182/20)*20*0.5+(K182/20)*20*0.3+(L182/20)*20*0.2,1))</f>
        <v/>
      </c>
      <c r="N182" s="10">
        <f>IF(M182="","",IF(M182&gt;=14,"APROBADO","DESAPROBADO"))</f>
        <v/>
      </c>
      <c r="O182" s="7" t="n"/>
    </row>
    <row r="183">
      <c r="A183" s="6" t="n">
        <v>177</v>
      </c>
      <c r="B183" s="6" t="n"/>
      <c r="C183" s="6" t="n"/>
      <c r="D183" s="7" t="n"/>
      <c r="E183" s="6" t="n"/>
      <c r="F183" s="6" t="n"/>
      <c r="G183" s="6" t="n"/>
      <c r="H183" s="6" t="n"/>
      <c r="I183" s="7" t="n"/>
      <c r="J183" s="8" t="n"/>
      <c r="K183" s="8" t="n"/>
      <c r="L183" s="8" t="n"/>
      <c r="M183" s="9">
        <f>IF(COUNTA(J183,K183,L183)=0,"",ROUND((J183/20)*20*0.5+(K183/20)*20*0.3+(L183/20)*20*0.2,1))</f>
        <v/>
      </c>
      <c r="N183" s="10">
        <f>IF(M183="","",IF(M183&gt;=14,"APROBADO","DESAPROBADO"))</f>
        <v/>
      </c>
      <c r="O183" s="7" t="n"/>
    </row>
    <row r="184">
      <c r="A184" s="6" t="n">
        <v>178</v>
      </c>
      <c r="B184" s="6" t="n"/>
      <c r="C184" s="6" t="n"/>
      <c r="D184" s="7" t="n"/>
      <c r="E184" s="6" t="n"/>
      <c r="F184" s="6" t="n"/>
      <c r="G184" s="6" t="n"/>
      <c r="H184" s="6" t="n"/>
      <c r="I184" s="7" t="n"/>
      <c r="J184" s="8" t="n"/>
      <c r="K184" s="8" t="n"/>
      <c r="L184" s="8" t="n"/>
      <c r="M184" s="9">
        <f>IF(COUNTA(J184,K184,L184)=0,"",ROUND((J184/20)*20*0.5+(K184/20)*20*0.3+(L184/20)*20*0.2,1))</f>
        <v/>
      </c>
      <c r="N184" s="10">
        <f>IF(M184="","",IF(M184&gt;=14,"APROBADO","DESAPROBADO"))</f>
        <v/>
      </c>
      <c r="O184" s="7" t="n"/>
    </row>
    <row r="185">
      <c r="A185" s="6" t="n">
        <v>179</v>
      </c>
      <c r="B185" s="6" t="n"/>
      <c r="C185" s="6" t="n"/>
      <c r="D185" s="7" t="n"/>
      <c r="E185" s="6" t="n"/>
      <c r="F185" s="6" t="n"/>
      <c r="G185" s="6" t="n"/>
      <c r="H185" s="6" t="n"/>
      <c r="I185" s="7" t="n"/>
      <c r="J185" s="8" t="n"/>
      <c r="K185" s="8" t="n"/>
      <c r="L185" s="8" t="n"/>
      <c r="M185" s="9">
        <f>IF(COUNTA(J185,K185,L185)=0,"",ROUND((J185/20)*20*0.5+(K185/20)*20*0.3+(L185/20)*20*0.2,1))</f>
        <v/>
      </c>
      <c r="N185" s="10">
        <f>IF(M185="","",IF(M185&gt;=14,"APROBADO","DESAPROBADO"))</f>
        <v/>
      </c>
      <c r="O185" s="7" t="n"/>
    </row>
    <row r="186">
      <c r="A186" s="6" t="n">
        <v>180</v>
      </c>
      <c r="B186" s="6" t="n"/>
      <c r="C186" s="6" t="n"/>
      <c r="D186" s="7" t="n"/>
      <c r="E186" s="6" t="n"/>
      <c r="F186" s="6" t="n"/>
      <c r="G186" s="6" t="n"/>
      <c r="H186" s="6" t="n"/>
      <c r="I186" s="7" t="n"/>
      <c r="J186" s="8" t="n"/>
      <c r="K186" s="8" t="n"/>
      <c r="L186" s="8" t="n"/>
      <c r="M186" s="9">
        <f>IF(COUNTA(J186,K186,L186)=0,"",ROUND((J186/20)*20*0.5+(K186/20)*20*0.3+(L186/20)*20*0.2,1))</f>
        <v/>
      </c>
      <c r="N186" s="10">
        <f>IF(M186="","",IF(M186&gt;=14,"APROBADO","DESAPROBADO"))</f>
        <v/>
      </c>
      <c r="O186" s="7" t="n"/>
    </row>
    <row r="187">
      <c r="A187" s="6" t="n">
        <v>181</v>
      </c>
      <c r="B187" s="6" t="n"/>
      <c r="C187" s="6" t="n"/>
      <c r="D187" s="7" t="n"/>
      <c r="E187" s="6" t="n"/>
      <c r="F187" s="6" t="n"/>
      <c r="G187" s="6" t="n"/>
      <c r="H187" s="6" t="n"/>
      <c r="I187" s="7" t="n"/>
      <c r="J187" s="8" t="n"/>
      <c r="K187" s="8" t="n"/>
      <c r="L187" s="8" t="n"/>
      <c r="M187" s="9">
        <f>IF(COUNTA(J187,K187,L187)=0,"",ROUND((J187/20)*20*0.5+(K187/20)*20*0.3+(L187/20)*20*0.2,1))</f>
        <v/>
      </c>
      <c r="N187" s="10">
        <f>IF(M187="","",IF(M187&gt;=14,"APROBADO","DESAPROBADO"))</f>
        <v/>
      </c>
      <c r="O187" s="7" t="n"/>
    </row>
    <row r="188">
      <c r="A188" s="6" t="n">
        <v>182</v>
      </c>
      <c r="B188" s="6" t="n"/>
      <c r="C188" s="6" t="n"/>
      <c r="D188" s="7" t="n"/>
      <c r="E188" s="6" t="n"/>
      <c r="F188" s="6" t="n"/>
      <c r="G188" s="6" t="n"/>
      <c r="H188" s="6" t="n"/>
      <c r="I188" s="7" t="n"/>
      <c r="J188" s="8" t="n"/>
      <c r="K188" s="8" t="n"/>
      <c r="L188" s="8" t="n"/>
      <c r="M188" s="9">
        <f>IF(COUNTA(J188,K188,L188)=0,"",ROUND((J188/20)*20*0.5+(K188/20)*20*0.3+(L188/20)*20*0.2,1))</f>
        <v/>
      </c>
      <c r="N188" s="10">
        <f>IF(M188="","",IF(M188&gt;=14,"APROBADO","DESAPROBADO"))</f>
        <v/>
      </c>
      <c r="O188" s="7" t="n"/>
    </row>
    <row r="189">
      <c r="A189" s="6" t="n">
        <v>183</v>
      </c>
      <c r="B189" s="6" t="n"/>
      <c r="C189" s="6" t="n"/>
      <c r="D189" s="7" t="n"/>
      <c r="E189" s="6" t="n"/>
      <c r="F189" s="6" t="n"/>
      <c r="G189" s="6" t="n"/>
      <c r="H189" s="6" t="n"/>
      <c r="I189" s="7" t="n"/>
      <c r="J189" s="8" t="n"/>
      <c r="K189" s="8" t="n"/>
      <c r="L189" s="8" t="n"/>
      <c r="M189" s="9">
        <f>IF(COUNTA(J189,K189,L189)=0,"",ROUND((J189/20)*20*0.5+(K189/20)*20*0.3+(L189/20)*20*0.2,1))</f>
        <v/>
      </c>
      <c r="N189" s="10">
        <f>IF(M189="","",IF(M189&gt;=14,"APROBADO","DESAPROBADO"))</f>
        <v/>
      </c>
      <c r="O189" s="7" t="n"/>
    </row>
    <row r="190">
      <c r="A190" s="6" t="n">
        <v>184</v>
      </c>
      <c r="B190" s="6" t="n"/>
      <c r="C190" s="6" t="n"/>
      <c r="D190" s="7" t="n"/>
      <c r="E190" s="6" t="n"/>
      <c r="F190" s="6" t="n"/>
      <c r="G190" s="6" t="n"/>
      <c r="H190" s="6" t="n"/>
      <c r="I190" s="7" t="n"/>
      <c r="J190" s="8" t="n"/>
      <c r="K190" s="8" t="n"/>
      <c r="L190" s="8" t="n"/>
      <c r="M190" s="9">
        <f>IF(COUNTA(J190,K190,L190)=0,"",ROUND((J190/20)*20*0.5+(K190/20)*20*0.3+(L190/20)*20*0.2,1))</f>
        <v/>
      </c>
      <c r="N190" s="10">
        <f>IF(M190="","",IF(M190&gt;=14,"APROBADO","DESAPROBADO"))</f>
        <v/>
      </c>
      <c r="O190" s="7" t="n"/>
    </row>
    <row r="191">
      <c r="A191" s="6" t="n">
        <v>185</v>
      </c>
      <c r="B191" s="6" t="n"/>
      <c r="C191" s="6" t="n"/>
      <c r="D191" s="7" t="n"/>
      <c r="E191" s="6" t="n"/>
      <c r="F191" s="6" t="n"/>
      <c r="G191" s="6" t="n"/>
      <c r="H191" s="6" t="n"/>
      <c r="I191" s="7" t="n"/>
      <c r="J191" s="8" t="n"/>
      <c r="K191" s="8" t="n"/>
      <c r="L191" s="8" t="n"/>
      <c r="M191" s="9">
        <f>IF(COUNTA(J191,K191,L191)=0,"",ROUND((J191/20)*20*0.5+(K191/20)*20*0.3+(L191/20)*20*0.2,1))</f>
        <v/>
      </c>
      <c r="N191" s="10">
        <f>IF(M191="","",IF(M191&gt;=14,"APROBADO","DESAPROBADO"))</f>
        <v/>
      </c>
      <c r="O191" s="7" t="n"/>
    </row>
    <row r="192">
      <c r="A192" s="6" t="n">
        <v>186</v>
      </c>
      <c r="B192" s="6" t="n"/>
      <c r="C192" s="6" t="n"/>
      <c r="D192" s="7" t="n"/>
      <c r="E192" s="6" t="n"/>
      <c r="F192" s="6" t="n"/>
      <c r="G192" s="6" t="n"/>
      <c r="H192" s="6" t="n"/>
      <c r="I192" s="7" t="n"/>
      <c r="J192" s="8" t="n"/>
      <c r="K192" s="8" t="n"/>
      <c r="L192" s="8" t="n"/>
      <c r="M192" s="9">
        <f>IF(COUNTA(J192,K192,L192)=0,"",ROUND((J192/20)*20*0.5+(K192/20)*20*0.3+(L192/20)*20*0.2,1))</f>
        <v/>
      </c>
      <c r="N192" s="10">
        <f>IF(M192="","",IF(M192&gt;=14,"APROBADO","DESAPROBADO"))</f>
        <v/>
      </c>
      <c r="O192" s="7" t="n"/>
    </row>
    <row r="193">
      <c r="A193" s="6" t="n">
        <v>187</v>
      </c>
      <c r="B193" s="6" t="n"/>
      <c r="C193" s="6" t="n"/>
      <c r="D193" s="7" t="n"/>
      <c r="E193" s="6" t="n"/>
      <c r="F193" s="6" t="n"/>
      <c r="G193" s="6" t="n"/>
      <c r="H193" s="6" t="n"/>
      <c r="I193" s="7" t="n"/>
      <c r="J193" s="8" t="n"/>
      <c r="K193" s="8" t="n"/>
      <c r="L193" s="8" t="n"/>
      <c r="M193" s="9">
        <f>IF(COUNTA(J193,K193,L193)=0,"",ROUND((J193/20)*20*0.5+(K193/20)*20*0.3+(L193/20)*20*0.2,1))</f>
        <v/>
      </c>
      <c r="N193" s="10">
        <f>IF(M193="","",IF(M193&gt;=14,"APROBADO","DESAPROBADO"))</f>
        <v/>
      </c>
      <c r="O193" s="7" t="n"/>
    </row>
    <row r="194">
      <c r="A194" s="6" t="n">
        <v>188</v>
      </c>
      <c r="B194" s="6" t="n"/>
      <c r="C194" s="6" t="n"/>
      <c r="D194" s="7" t="n"/>
      <c r="E194" s="6" t="n"/>
      <c r="F194" s="6" t="n"/>
      <c r="G194" s="6" t="n"/>
      <c r="H194" s="6" t="n"/>
      <c r="I194" s="7" t="n"/>
      <c r="J194" s="8" t="n"/>
      <c r="K194" s="8" t="n"/>
      <c r="L194" s="8" t="n"/>
      <c r="M194" s="9">
        <f>IF(COUNTA(J194,K194,L194)=0,"",ROUND((J194/20)*20*0.5+(K194/20)*20*0.3+(L194/20)*20*0.2,1))</f>
        <v/>
      </c>
      <c r="N194" s="10">
        <f>IF(M194="","",IF(M194&gt;=14,"APROBADO","DESAPROBADO"))</f>
        <v/>
      </c>
      <c r="O194" s="7" t="n"/>
    </row>
    <row r="195">
      <c r="A195" s="6" t="n">
        <v>189</v>
      </c>
      <c r="B195" s="6" t="n"/>
      <c r="C195" s="6" t="n"/>
      <c r="D195" s="7" t="n"/>
      <c r="E195" s="6" t="n"/>
      <c r="F195" s="6" t="n"/>
      <c r="G195" s="6" t="n"/>
      <c r="H195" s="6" t="n"/>
      <c r="I195" s="7" t="n"/>
      <c r="J195" s="8" t="n"/>
      <c r="K195" s="8" t="n"/>
      <c r="L195" s="8" t="n"/>
      <c r="M195" s="9">
        <f>IF(COUNTA(J195,K195,L195)=0,"",ROUND((J195/20)*20*0.5+(K195/20)*20*0.3+(L195/20)*20*0.2,1))</f>
        <v/>
      </c>
      <c r="N195" s="10">
        <f>IF(M195="","",IF(M195&gt;=14,"APROBADO","DESAPROBADO"))</f>
        <v/>
      </c>
      <c r="O195" s="7" t="n"/>
    </row>
    <row r="196">
      <c r="A196" s="6" t="n">
        <v>190</v>
      </c>
      <c r="B196" s="6" t="n"/>
      <c r="C196" s="6" t="n"/>
      <c r="D196" s="7" t="n"/>
      <c r="E196" s="6" t="n"/>
      <c r="F196" s="6" t="n"/>
      <c r="G196" s="6" t="n"/>
      <c r="H196" s="6" t="n"/>
      <c r="I196" s="7" t="n"/>
      <c r="J196" s="8" t="n"/>
      <c r="K196" s="8" t="n"/>
      <c r="L196" s="8" t="n"/>
      <c r="M196" s="9">
        <f>IF(COUNTA(J196,K196,L196)=0,"",ROUND((J196/20)*20*0.5+(K196/20)*20*0.3+(L196/20)*20*0.2,1))</f>
        <v/>
      </c>
      <c r="N196" s="10">
        <f>IF(M196="","",IF(M196&gt;=14,"APROBADO","DESAPROBADO"))</f>
        <v/>
      </c>
      <c r="O196" s="7" t="n"/>
    </row>
    <row r="197">
      <c r="A197" s="6" t="n">
        <v>191</v>
      </c>
      <c r="B197" s="6" t="n"/>
      <c r="C197" s="6" t="n"/>
      <c r="D197" s="7" t="n"/>
      <c r="E197" s="6" t="n"/>
      <c r="F197" s="6" t="n"/>
      <c r="G197" s="6" t="n"/>
      <c r="H197" s="6" t="n"/>
      <c r="I197" s="7" t="n"/>
      <c r="J197" s="8" t="n"/>
      <c r="K197" s="8" t="n"/>
      <c r="L197" s="8" t="n"/>
      <c r="M197" s="9">
        <f>IF(COUNTA(J197,K197,L197)=0,"",ROUND((J197/20)*20*0.5+(K197/20)*20*0.3+(L197/20)*20*0.2,1))</f>
        <v/>
      </c>
      <c r="N197" s="10">
        <f>IF(M197="","",IF(M197&gt;=14,"APROBADO","DESAPROBADO"))</f>
        <v/>
      </c>
      <c r="O197" s="7" t="n"/>
    </row>
    <row r="198">
      <c r="A198" s="6" t="n">
        <v>192</v>
      </c>
      <c r="B198" s="6" t="n"/>
      <c r="C198" s="6" t="n"/>
      <c r="D198" s="7" t="n"/>
      <c r="E198" s="6" t="n"/>
      <c r="F198" s="6" t="n"/>
      <c r="G198" s="6" t="n"/>
      <c r="H198" s="6" t="n"/>
      <c r="I198" s="7" t="n"/>
      <c r="J198" s="8" t="n"/>
      <c r="K198" s="8" t="n"/>
      <c r="L198" s="8" t="n"/>
      <c r="M198" s="9">
        <f>IF(COUNTA(J198,K198,L198)=0,"",ROUND((J198/20)*20*0.5+(K198/20)*20*0.3+(L198/20)*20*0.2,1))</f>
        <v/>
      </c>
      <c r="N198" s="10">
        <f>IF(M198="","",IF(M198&gt;=14,"APROBADO","DESAPROBADO"))</f>
        <v/>
      </c>
      <c r="O198" s="7" t="n"/>
    </row>
    <row r="199">
      <c r="A199" s="6" t="n">
        <v>193</v>
      </c>
      <c r="B199" s="6" t="n"/>
      <c r="C199" s="6" t="n"/>
      <c r="D199" s="7" t="n"/>
      <c r="E199" s="6" t="n"/>
      <c r="F199" s="6" t="n"/>
      <c r="G199" s="6" t="n"/>
      <c r="H199" s="6" t="n"/>
      <c r="I199" s="7" t="n"/>
      <c r="J199" s="8" t="n"/>
      <c r="K199" s="8" t="n"/>
      <c r="L199" s="8" t="n"/>
      <c r="M199" s="9">
        <f>IF(COUNTA(J199,K199,L199)=0,"",ROUND((J199/20)*20*0.5+(K199/20)*20*0.3+(L199/20)*20*0.2,1))</f>
        <v/>
      </c>
      <c r="N199" s="10">
        <f>IF(M199="","",IF(M199&gt;=14,"APROBADO","DESAPROBADO"))</f>
        <v/>
      </c>
      <c r="O199" s="7" t="n"/>
    </row>
    <row r="200">
      <c r="A200" s="6" t="n">
        <v>194</v>
      </c>
      <c r="B200" s="6" t="n"/>
      <c r="C200" s="6" t="n"/>
      <c r="D200" s="7" t="n"/>
      <c r="E200" s="6" t="n"/>
      <c r="F200" s="6" t="n"/>
      <c r="G200" s="6" t="n"/>
      <c r="H200" s="6" t="n"/>
      <c r="I200" s="7" t="n"/>
      <c r="J200" s="8" t="n"/>
      <c r="K200" s="8" t="n"/>
      <c r="L200" s="8" t="n"/>
      <c r="M200" s="9">
        <f>IF(COUNTA(J200,K200,L200)=0,"",ROUND((J200/20)*20*0.5+(K200/20)*20*0.3+(L200/20)*20*0.2,1))</f>
        <v/>
      </c>
      <c r="N200" s="10">
        <f>IF(M200="","",IF(M200&gt;=14,"APROBADO","DESAPROBADO"))</f>
        <v/>
      </c>
      <c r="O200" s="7" t="n"/>
    </row>
    <row r="201">
      <c r="A201" s="6" t="n">
        <v>195</v>
      </c>
      <c r="B201" s="6" t="n"/>
      <c r="C201" s="6" t="n"/>
      <c r="D201" s="7" t="n"/>
      <c r="E201" s="6" t="n"/>
      <c r="F201" s="6" t="n"/>
      <c r="G201" s="6" t="n"/>
      <c r="H201" s="6" t="n"/>
      <c r="I201" s="7" t="n"/>
      <c r="J201" s="8" t="n"/>
      <c r="K201" s="8" t="n"/>
      <c r="L201" s="8" t="n"/>
      <c r="M201" s="9">
        <f>IF(COUNTA(J201,K201,L201)=0,"",ROUND((J201/20)*20*0.5+(K201/20)*20*0.3+(L201/20)*20*0.2,1))</f>
        <v/>
      </c>
      <c r="N201" s="10">
        <f>IF(M201="","",IF(M201&gt;=14,"APROBADO","DESAPROBADO"))</f>
        <v/>
      </c>
      <c r="O201" s="7" t="n"/>
    </row>
    <row r="202">
      <c r="A202" s="6" t="n">
        <v>196</v>
      </c>
      <c r="B202" s="6" t="n"/>
      <c r="C202" s="6" t="n"/>
      <c r="D202" s="7" t="n"/>
      <c r="E202" s="6" t="n"/>
      <c r="F202" s="6" t="n"/>
      <c r="G202" s="6" t="n"/>
      <c r="H202" s="6" t="n"/>
      <c r="I202" s="7" t="n"/>
      <c r="J202" s="8" t="n"/>
      <c r="K202" s="8" t="n"/>
      <c r="L202" s="8" t="n"/>
      <c r="M202" s="9">
        <f>IF(COUNTA(J202,K202,L202)=0,"",ROUND((J202/20)*20*0.5+(K202/20)*20*0.3+(L202/20)*20*0.2,1))</f>
        <v/>
      </c>
      <c r="N202" s="10">
        <f>IF(M202="","",IF(M202&gt;=14,"APROBADO","DESAPROBADO"))</f>
        <v/>
      </c>
      <c r="O202" s="7" t="n"/>
    </row>
    <row r="203">
      <c r="A203" s="6" t="n">
        <v>197</v>
      </c>
      <c r="B203" s="6" t="n"/>
      <c r="C203" s="6" t="n"/>
      <c r="D203" s="7" t="n"/>
      <c r="E203" s="6" t="n"/>
      <c r="F203" s="6" t="n"/>
      <c r="G203" s="6" t="n"/>
      <c r="H203" s="6" t="n"/>
      <c r="I203" s="7" t="n"/>
      <c r="J203" s="8" t="n"/>
      <c r="K203" s="8" t="n"/>
      <c r="L203" s="8" t="n"/>
      <c r="M203" s="9">
        <f>IF(COUNTA(J203,K203,L203)=0,"",ROUND((J203/20)*20*0.5+(K203/20)*20*0.3+(L203/20)*20*0.2,1))</f>
        <v/>
      </c>
      <c r="N203" s="10">
        <f>IF(M203="","",IF(M203&gt;=14,"APROBADO","DESAPROBADO"))</f>
        <v/>
      </c>
      <c r="O203" s="7" t="n"/>
    </row>
    <row r="204">
      <c r="A204" s="6" t="n">
        <v>198</v>
      </c>
      <c r="B204" s="6" t="n"/>
      <c r="C204" s="6" t="n"/>
      <c r="D204" s="7" t="n"/>
      <c r="E204" s="6" t="n"/>
      <c r="F204" s="6" t="n"/>
      <c r="G204" s="6" t="n"/>
      <c r="H204" s="6" t="n"/>
      <c r="I204" s="7" t="n"/>
      <c r="J204" s="8" t="n"/>
      <c r="K204" s="8" t="n"/>
      <c r="L204" s="8" t="n"/>
      <c r="M204" s="9">
        <f>IF(COUNTA(J204,K204,L204)=0,"",ROUND((J204/20)*20*0.5+(K204/20)*20*0.3+(L204/20)*20*0.2,1))</f>
        <v/>
      </c>
      <c r="N204" s="10">
        <f>IF(M204="","",IF(M204&gt;=14,"APROBADO","DESAPROBADO"))</f>
        <v/>
      </c>
      <c r="O204" s="7" t="n"/>
    </row>
    <row r="205">
      <c r="A205" s="6" t="n">
        <v>199</v>
      </c>
      <c r="B205" s="6" t="n"/>
      <c r="C205" s="6" t="n"/>
      <c r="D205" s="7" t="n"/>
      <c r="E205" s="6" t="n"/>
      <c r="F205" s="6" t="n"/>
      <c r="G205" s="6" t="n"/>
      <c r="H205" s="6" t="n"/>
      <c r="I205" s="7" t="n"/>
      <c r="J205" s="8" t="n"/>
      <c r="K205" s="8" t="n"/>
      <c r="L205" s="8" t="n"/>
      <c r="M205" s="9">
        <f>IF(COUNTA(J205,K205,L205)=0,"",ROUND((J205/20)*20*0.5+(K205/20)*20*0.3+(L205/20)*20*0.2,1))</f>
        <v/>
      </c>
      <c r="N205" s="10">
        <f>IF(M205="","",IF(M205&gt;=14,"APROBADO","DESAPROBADO"))</f>
        <v/>
      </c>
      <c r="O205" s="7" t="n"/>
    </row>
    <row r="206">
      <c r="A206" s="6" t="n">
        <v>200</v>
      </c>
      <c r="B206" s="6" t="n"/>
      <c r="C206" s="6" t="n"/>
      <c r="D206" s="7" t="n"/>
      <c r="E206" s="6" t="n"/>
      <c r="F206" s="6" t="n"/>
      <c r="G206" s="6" t="n"/>
      <c r="H206" s="6" t="n"/>
      <c r="I206" s="7" t="n"/>
      <c r="J206" s="8" t="n"/>
      <c r="K206" s="8" t="n"/>
      <c r="L206" s="8" t="n"/>
      <c r="M206" s="9">
        <f>IF(COUNTA(J206,K206,L206)=0,"",ROUND((J206/20)*20*0.5+(K206/20)*20*0.3+(L206/20)*20*0.2,1))</f>
        <v/>
      </c>
      <c r="N206" s="10">
        <f>IF(M206="","",IF(M206&gt;=14,"APROBADO","DESAPROBADO"))</f>
        <v/>
      </c>
      <c r="O206" s="7" t="n"/>
    </row>
  </sheetData>
  <mergeCells count="4">
    <mergeCell ref="A1:O1"/>
    <mergeCell ref="A3:O3"/>
    <mergeCell ref="A2:O2"/>
    <mergeCell ref="A6:O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30" customWidth="1" min="3" max="3"/>
    <col width="8" customWidth="1" min="4" max="4"/>
    <col width="35" customWidth="1" min="5" max="5"/>
    <col width="30" customWidth="1" min="6" max="6"/>
  </cols>
  <sheetData>
    <row r="1" ht="30" customHeight="1">
      <c r="A1" s="16" t="inlineStr">
        <is>
          <t>CRITERIOS DE EVALUACIÓN — Sílabo 80h: Tutor de IA de Matemáticas</t>
        </is>
      </c>
    </row>
    <row r="2">
      <c r="A2" s="17" t="inlineStr">
        <is>
          <t>Detalle de componentes de evaluación, evidencias y fuentes de verificación</t>
        </is>
      </c>
    </row>
    <row r="3"/>
    <row r="4">
      <c r="A4" s="18" t="inlineStr">
        <is>
          <t>COMPONENTE</t>
        </is>
      </c>
      <c r="B4" s="18" t="inlineStr">
        <is>
          <t>PESO</t>
        </is>
      </c>
      <c r="C4" s="18" t="inlineStr">
        <is>
          <t>MÓDULO / ACTIVIDAD</t>
        </is>
      </c>
      <c r="D4" s="18" t="inlineStr">
        <is>
          <t>HORAS</t>
        </is>
      </c>
      <c r="E4" s="18" t="inlineStr">
        <is>
          <t>EVIDENCIA / PRODUCTO</t>
        </is>
      </c>
      <c r="F4" s="18" t="inlineStr">
        <is>
          <t>FUENTE DE VERIFICACIÓN</t>
        </is>
      </c>
    </row>
    <row r="5">
      <c r="A5" s="19" t="inlineStr">
        <is>
          <t>PRESENCIA EN LABORATORIO</t>
        </is>
      </c>
      <c r="B5" s="20" t="inlineStr">
        <is>
          <t>50%</t>
        </is>
      </c>
      <c r="C5" s="21" t="n"/>
      <c r="D5" s="21" t="n"/>
      <c r="E5" s="21" t="n"/>
      <c r="F5" s="21" t="n"/>
    </row>
    <row r="6" ht="40" customHeight="1">
      <c r="A6" s="22" t="inlineStr"/>
      <c r="B6" s="22" t="inlineStr"/>
      <c r="C6" s="23" t="inlineStr">
        <is>
          <t>Fase anticipada: supervisión en abril (Mod. 2)</t>
        </is>
      </c>
      <c r="D6" s="24" t="inlineStr">
        <is>
          <t>10 h</t>
        </is>
      </c>
      <c r="E6" s="23" t="inlineStr">
        <is>
          <t>Informe de Implementación Anticipada (Anexo 2)</t>
        </is>
      </c>
      <c r="F6" s="23" t="inlineStr">
        <is>
          <t>Entrega por correo + reporte uDocz</t>
        </is>
      </c>
    </row>
    <row r="7" ht="40" customHeight="1">
      <c r="A7" s="22" t="inlineStr"/>
      <c r="B7" s="22" t="inlineStr"/>
      <c r="C7" s="23" t="inlineStr">
        <is>
          <t>Supervisión semanal mayo-julio (Mod. 2)</t>
        </is>
      </c>
      <c r="D7" s="24" t="inlineStr">
        <is>
          <t>28 h</t>
        </is>
      </c>
      <c r="E7" s="23" t="inlineStr">
        <is>
          <t>Registro automático de presencia</t>
        </is>
      </c>
      <c r="F7" s="23" t="inlineStr">
        <is>
          <t>Plataforma uDocz (reporte automático)</t>
        </is>
      </c>
    </row>
    <row r="8">
      <c r="A8" s="19" t="inlineStr">
        <is>
          <t>PRODUCTOS Y AUTOESTUDIO</t>
        </is>
      </c>
      <c r="B8" s="20" t="inlineStr">
        <is>
          <t>30%</t>
        </is>
      </c>
      <c r="C8" s="21" t="n"/>
      <c r="D8" s="21" t="n"/>
      <c r="E8" s="21" t="n"/>
      <c r="F8" s="21" t="n"/>
    </row>
    <row r="9" ht="40" customHeight="1">
      <c r="A9" s="22" t="inlineStr"/>
      <c r="B9" s="22" t="inlineStr"/>
      <c r="C9" s="23" t="inlineStr">
        <is>
          <t>Curso de perfeccionamiento docente (Mod. 3)</t>
        </is>
      </c>
      <c r="D9" s="24" t="inlineStr">
        <is>
          <t>8 h</t>
        </is>
      </c>
      <c r="E9" s="23" t="inlineStr">
        <is>
          <t>Completar sesiones asincrónicas</t>
        </is>
      </c>
      <c r="F9" s="23" t="inlineStr">
        <is>
          <t>Registro automático en eligiendomicamino.org</t>
        </is>
      </c>
    </row>
    <row r="10" ht="40" customHeight="1">
      <c r="A10" s="22" t="inlineStr"/>
      <c r="B10" s="22" t="inlineStr"/>
      <c r="C10" s="23" t="inlineStr">
        <is>
          <t>Sesiones de aprendizaje (Mod. 5)</t>
        </is>
      </c>
      <c r="D10" s="24" t="inlineStr">
        <is>
          <t>9 h</t>
        </is>
      </c>
      <c r="E10" s="23" t="inlineStr">
        <is>
          <t>Sesiones de aprendizaje entregadas</t>
        </is>
      </c>
      <c r="F10" s="23" t="inlineStr">
        <is>
          <t>Correo eligiendomicamino@worldbankgroup.org</t>
        </is>
      </c>
    </row>
    <row r="11" ht="40" customHeight="1">
      <c r="A11" s="22" t="inlineStr"/>
      <c r="B11" s="22" t="inlineStr"/>
      <c r="C11" s="23" t="inlineStr">
        <is>
          <t>Demostración práctica (Mod. 6)</t>
        </is>
      </c>
      <c r="D11" s="24" t="inlineStr">
        <is>
          <t>6 h</t>
        </is>
      </c>
      <c r="E11" s="23" t="inlineStr">
        <is>
          <t>Video o audio de implementación</t>
        </is>
      </c>
      <c r="F11" s="23" t="inlineStr">
        <is>
          <t>Correo eligiendomicamino@worldbankgroup.org</t>
        </is>
      </c>
    </row>
    <row r="12">
      <c r="A12" s="19" t="inlineStr">
        <is>
          <t>ACOMPAÑAMIENTO Y EVALUACIONES</t>
        </is>
      </c>
      <c r="B12" s="20" t="inlineStr">
        <is>
          <t>20%</t>
        </is>
      </c>
      <c r="C12" s="21" t="n"/>
      <c r="D12" s="21" t="n"/>
      <c r="E12" s="21" t="n"/>
      <c r="F12" s="21" t="n"/>
    </row>
    <row r="13" ht="40" customHeight="1">
      <c r="A13" s="22" t="inlineStr"/>
      <c r="B13" s="22" t="inlineStr"/>
      <c r="C13" s="23" t="inlineStr">
        <is>
          <t>Inducción virtual (Mod. 1)</t>
        </is>
      </c>
      <c r="D13" s="24" t="inlineStr">
        <is>
          <t>3 h</t>
        </is>
      </c>
      <c r="E13" s="23" t="inlineStr">
        <is>
          <t>Completar módulo asincrónico</t>
        </is>
      </c>
      <c r="F13" s="23" t="inlineStr">
        <is>
          <t>Registro automático en eligiendomicamino.org</t>
        </is>
      </c>
    </row>
    <row r="14" ht="40" customHeight="1">
      <c r="A14" s="22" t="inlineStr"/>
      <c r="B14" s="22" t="inlineStr"/>
      <c r="C14" s="23" t="inlineStr">
        <is>
          <t>Llamadas de seguimiento (Mod. 4)</t>
        </is>
      </c>
      <c r="D14" s="24" t="inlineStr">
        <is>
          <t>4 h</t>
        </is>
      </c>
      <c r="E14" s="23" t="inlineStr">
        <is>
          <t>Asistencia a min. 2 de 3 llamadas</t>
        </is>
      </c>
      <c r="F14" s="23" t="inlineStr">
        <is>
          <t>Registro automático de asistencia</t>
        </is>
      </c>
    </row>
    <row r="15" ht="40" customHeight="1">
      <c r="A15" s="22" t="inlineStr"/>
      <c r="B15" s="22" t="inlineStr"/>
      <c r="C15" s="23" t="inlineStr">
        <is>
          <t>Apoyo a evaluaciones IPA (Mod. 7)</t>
        </is>
      </c>
      <c r="D15" s="24" t="inlineStr">
        <is>
          <t>10 h</t>
        </is>
      </c>
      <c r="E15" s="23" t="inlineStr">
        <is>
          <t>Facilitación de evaluaciones en su sección</t>
        </is>
      </c>
      <c r="F15" s="23" t="inlineStr">
        <is>
          <t>Protocolo firmado por IPA</t>
        </is>
      </c>
    </row>
    <row r="16" ht="40" customHeight="1">
      <c r="A16" s="22" t="inlineStr"/>
      <c r="B16" s="22" t="inlineStr"/>
      <c r="C16" s="23" t="inlineStr">
        <is>
          <t>Feedback al programa (Mod. 8)</t>
        </is>
      </c>
      <c r="D16" s="24" t="inlineStr">
        <is>
          <t>2 h</t>
        </is>
      </c>
      <c r="E16" s="23" t="inlineStr">
        <is>
          <t>Encuesta de retroalimentación (Anexo 3)</t>
        </is>
      </c>
      <c r="F16" s="23" t="inlineStr">
        <is>
          <t>Correo eligiendomicamino@worldbankgroup.org</t>
        </is>
      </c>
    </row>
    <row r="17">
      <c r="A17" s="25" t="inlineStr">
        <is>
          <t>TOTAL</t>
        </is>
      </c>
      <c r="B17" s="26" t="inlineStr">
        <is>
          <t>100%</t>
        </is>
      </c>
      <c r="C17" s="27" t="n"/>
      <c r="D17" s="26" t="inlineStr">
        <is>
          <t>80 h</t>
        </is>
      </c>
      <c r="E17" s="27" t="n"/>
      <c r="F17" s="27" t="n"/>
    </row>
    <row r="18"/>
    <row r="19">
      <c r="A19" s="28" t="inlineStr">
        <is>
          <t>NOTAS:</t>
        </is>
      </c>
    </row>
    <row r="20">
      <c r="A20" s="29" t="inlineStr">
        <is>
          <t>• Nota mínima aprobatoria: 14 (escala vigesimal).</t>
        </is>
      </c>
    </row>
    <row r="21">
      <c r="A21" s="29" t="inlineStr">
        <is>
          <t>• Las horas de la fase anticipada (23 mar – 2 may) se acreditan mediante el Informe de Implementación Anticipada (Anexo 2).</t>
        </is>
      </c>
    </row>
    <row r="22">
      <c r="A22" s="29" t="inlineStr">
        <is>
          <t>• La mayoría de las evidencias se recopilan automáticamente desde la plataforma uDocz y eligiendomicamino.org, minimizando la carga para el docente.</t>
        </is>
      </c>
    </row>
    <row r="23">
      <c r="A23" s="29" t="inlineStr">
        <is>
          <t>• Cada componente se califica de 0 a 20. El promedio final es el promedio ponderado según los pesos indicados.</t>
        </is>
      </c>
    </row>
  </sheetData>
  <mergeCells count="6">
    <mergeCell ref="A2:F2"/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1" t="inlineStr">
        <is>
          <t>RESUMEN DE CERTIFICACIÓN</t>
        </is>
      </c>
    </row>
    <row r="3">
      <c r="A3" s="12" t="inlineStr">
        <is>
          <t>Total docentes registrados:</t>
        </is>
      </c>
      <c r="B3" s="13">
        <f>COUNTA(CERTIFICACION!E7:E206)</f>
        <v/>
      </c>
    </row>
    <row r="4">
      <c r="A4" s="12" t="inlineStr">
        <is>
          <t>Total APROBADOS:</t>
        </is>
      </c>
      <c r="B4" s="13">
        <f>COUNTIF(CERTIFICACION!N7:N206,"APROBADO")</f>
        <v/>
      </c>
    </row>
    <row r="5">
      <c r="A5" s="12" t="inlineStr">
        <is>
          <t>Total DESAPROBADOS:</t>
        </is>
      </c>
      <c r="B5" s="13">
        <f>COUNTIF(CERTIFICACION!N7:N206,"DESAPROBADO")</f>
        <v/>
      </c>
    </row>
    <row r="6">
      <c r="A6" s="12" t="inlineStr">
        <is>
          <t>Tasa de aprobación:</t>
        </is>
      </c>
      <c r="B6" s="14">
        <f>IF(B3=0,"",B4/B3)</f>
        <v/>
      </c>
    </row>
    <row r="7">
      <c r="A7" s="12" t="inlineStr">
        <is>
          <t>Promedio general:</t>
        </is>
      </c>
      <c r="B7" s="15">
        <f>IF(B3=0,"",AVERAGEIF(CERTIFICACION!M7:M206,"&lt;&gt;"&amp;""))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2026-04-13T16:32:46Z</dcterms:created>
  <dcterms:modified xmlns:dcterms="http://purl.org/dc/terms/" xmlns:xsi="http://www.w3.org/2001/XMLSchema-instance" xsi:type="dcterms:W3CDTF">2026-04-13T17:15:45Z</dcterms:modified>
</cp:coreProperties>
</file>